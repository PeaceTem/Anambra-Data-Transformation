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Users\USER\Documents\NLP\anambra\HEALTH\data\"/>
    </mc:Choice>
  </mc:AlternateContent>
  <xr:revisionPtr revIDLastSave="0" documentId="13_ncr:1_{9F2D5F35-B335-43EB-B3FB-CA954D99D94E}" xr6:coauthVersionLast="47" xr6:coauthVersionMax="47" xr10:uidLastSave="{00000000-0000-0000-0000-000000000000}"/>
  <bookViews>
    <workbookView xWindow="-120" yWindow="-120" windowWidth="20730" windowHeight="11160" xr2:uid="{35515FDB-F216-4B3A-8481-8C0594C6838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" i="1"/>
  <c r="K18" i="1"/>
  <c r="N18" i="1" s="1"/>
  <c r="P18" i="1" s="1"/>
  <c r="K17" i="1"/>
  <c r="N17" i="1" s="1"/>
  <c r="P17" i="1" s="1"/>
  <c r="K16" i="1"/>
  <c r="N16" i="1" s="1"/>
  <c r="P16" i="1" s="1"/>
  <c r="K12" i="1"/>
  <c r="N12" i="1" s="1"/>
  <c r="P12" i="1" s="1"/>
  <c r="K11" i="1"/>
  <c r="N11" i="1" s="1"/>
  <c r="P11" i="1" s="1"/>
  <c r="K10" i="1"/>
  <c r="N10" i="1" s="1"/>
  <c r="P10" i="1" s="1"/>
  <c r="K8" i="1"/>
  <c r="N8" i="1" s="1"/>
  <c r="P8" i="1" s="1"/>
  <c r="K20" i="1"/>
  <c r="N20" i="1" s="1"/>
  <c r="P20" i="1" s="1"/>
  <c r="K19" i="1"/>
  <c r="N19" i="1" s="1"/>
  <c r="P19" i="1" s="1"/>
  <c r="K4" i="1"/>
  <c r="N4" i="1" s="1"/>
  <c r="P4" i="1" s="1"/>
  <c r="K3" i="1"/>
  <c r="N3" i="1" s="1"/>
  <c r="P3" i="1" s="1"/>
  <c r="K22" i="1"/>
  <c r="N22" i="1" s="1"/>
  <c r="P22" i="1" s="1"/>
  <c r="K21" i="1"/>
  <c r="N21" i="1" s="1"/>
  <c r="P21" i="1" s="1"/>
  <c r="K15" i="1"/>
  <c r="N15" i="1" s="1"/>
  <c r="P15" i="1" s="1"/>
  <c r="K14" i="1"/>
  <c r="N14" i="1" s="1"/>
  <c r="P14" i="1" s="1"/>
  <c r="K13" i="1"/>
  <c r="N13" i="1" s="1"/>
  <c r="P13" i="1" s="1"/>
  <c r="K9" i="1"/>
  <c r="N9" i="1" s="1"/>
  <c r="P9" i="1" s="1"/>
  <c r="K7" i="1"/>
  <c r="N7" i="1" s="1"/>
  <c r="P7" i="1" s="1"/>
  <c r="K6" i="1"/>
  <c r="N6" i="1" s="1"/>
  <c r="P6" i="1" s="1"/>
  <c r="K5" i="1"/>
  <c r="N5" i="1" s="1"/>
  <c r="P5" i="1" s="1"/>
  <c r="M4" i="1" l="1"/>
  <c r="M12" i="1"/>
  <c r="M19" i="1"/>
  <c r="M11" i="1"/>
  <c r="M3" i="1"/>
  <c r="M18" i="1"/>
  <c r="M10" i="1"/>
  <c r="M20" i="1"/>
  <c r="M17" i="1"/>
  <c r="M9" i="1"/>
  <c r="M16" i="1"/>
  <c r="M8" i="1"/>
  <c r="M15" i="1"/>
  <c r="M7" i="1"/>
  <c r="M22" i="1"/>
  <c r="M14" i="1"/>
  <c r="M6" i="1"/>
  <c r="M21" i="1"/>
  <c r="M13" i="1"/>
  <c r="M5" i="1"/>
  <c r="K2" i="1"/>
  <c r="N2" i="1" l="1"/>
  <c r="M2" i="1"/>
  <c r="P2" i="1" l="1"/>
</calcChain>
</file>

<file path=xl/sharedStrings.xml><?xml version="1.0" encoding="utf-8"?>
<sst xmlns="http://schemas.openxmlformats.org/spreadsheetml/2006/main" count="37" uniqueCount="37">
  <si>
    <t>LGA</t>
  </si>
  <si>
    <t>Aguata</t>
  </si>
  <si>
    <t>Anambra East</t>
  </si>
  <si>
    <t>Anambra West</t>
  </si>
  <si>
    <t>Anaocha</t>
  </si>
  <si>
    <t>Awka North</t>
  </si>
  <si>
    <t>Awka South</t>
  </si>
  <si>
    <t>Ayamelum</t>
  </si>
  <si>
    <t>Dunukofia</t>
  </si>
  <si>
    <t>Ekwusigo</t>
  </si>
  <si>
    <t>Idemili North</t>
  </si>
  <si>
    <t>Idemili South</t>
  </si>
  <si>
    <t>Ihiala</t>
  </si>
  <si>
    <t>Njikoka</t>
  </si>
  <si>
    <t>Nnewi North</t>
  </si>
  <si>
    <t>Nnewi South</t>
  </si>
  <si>
    <t>Ogbaru</t>
  </si>
  <si>
    <t>Onitsha North</t>
  </si>
  <si>
    <t>Onitsha South</t>
  </si>
  <si>
    <t>Orumba North</t>
  </si>
  <si>
    <t>Orumba South</t>
  </si>
  <si>
    <t>Oyi</t>
  </si>
  <si>
    <t>Total no of PW 2021 (5% of Pop)</t>
  </si>
  <si>
    <t>Total no of women reproductive age 2021 (22% of Pop)</t>
  </si>
  <si>
    <t>Total no of PW 2022 (5% of Pop)</t>
  </si>
  <si>
    <t>Total no of PW 2023 (5% of Pop)</t>
  </si>
  <si>
    <t>Total no of PW 2024 (5% of Pop)</t>
  </si>
  <si>
    <t>Total no of PW 2025 (5% of Pop)</t>
  </si>
  <si>
    <t>Total no of women reproductive age 2022 (22% of Pop)</t>
  </si>
  <si>
    <t>Total no of women reproductive age 2023 (22% of Pop)</t>
  </si>
  <si>
    <t>Total no of women reproductive age 2024 (22% of Pop)</t>
  </si>
  <si>
    <t>Total no of women reproductive age 2025 (22% of Pop)</t>
  </si>
  <si>
    <t>population of district 2021 (2.8%)</t>
  </si>
  <si>
    <t>population of district 2022 (2.8%)</t>
  </si>
  <si>
    <t>population of district 2023 (2.8%)</t>
  </si>
  <si>
    <t>population of district 2024 (2.8%)</t>
  </si>
  <si>
    <t>population of district 2025 (2.8%)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</si>
</sst>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_-;\-* #,##0_-;_-* &quot;-&quot;??_-;_-@_-"/>
  </numFmts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sz val="10"/>
      <color indexed="8"/>
      <name val="Arial"/>
      <family val="2"/>
    </font>
    <font>
      <b/>
      <sz val="11"/>
      <color indexed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14">
    <xf numFmtId="0" fontId="0" fillId="0" borderId="0" xfId="0"/>
    <xf numFmtId="0" fontId="4" fillId="0" borderId="2" xfId="1" applyFont="1" applyBorder="1" applyAlignment="1">
      <alignment wrapText="1"/>
    </xf>
    <xf numFmtId="0" fontId="4" fillId="0" borderId="3" xfId="1" applyFont="1" applyBorder="1" applyAlignment="1">
      <alignment wrapText="1"/>
    </xf>
    <xf numFmtId="0" fontId="1" fillId="0" borderId="3" xfId="0" applyFont="1" applyBorder="1" applyAlignment="1">
      <alignment wrapText="1"/>
    </xf>
    <xf numFmtId="164" fontId="0" fillId="0" borderId="0" xfId="0" applyNumberFormat="1"/>
    <xf numFmtId="0" fontId="1" fillId="3" borderId="1" xfId="0" applyFont="1" applyFill="1" applyBorder="1" applyAlignment="1">
      <alignment wrapText="1"/>
    </xf>
    <xf numFmtId="1" fontId="0" fillId="0" borderId="0" xfId="0" applyNumberFormat="1"/>
    <xf numFmtId="164" fontId="0" fillId="3" borderId="0" xfId="0" applyNumberFormat="1" applyFill="1"/>
    <xf numFmtId="0" fontId="0" fillId="3" borderId="0" xfId="0" applyFill="1"/>
    <xf numFmtId="1" fontId="0" fillId="3" borderId="0" xfId="0" applyNumberFormat="1" applyFill="1"/>
    <xf numFmtId="0" fontId="1" fillId="0" borderId="0" xfId="0" applyFont="1" applyAlignment="1">
      <alignment wrapText="1"/>
    </xf>
    <xf numFmtId="0" fontId="1" fillId="3" borderId="0" xfId="0" applyFont="1" applyFill="1" applyAlignment="1">
      <alignment wrapText="1"/>
    </xf>
    <xf numFmtId="0" fontId="0" fillId="2" borderId="0" xfId="0" applyFill="1"/>
    <xf numFmtId="0" fontId="2" fillId="2" borderId="2" xfId="0" applyFont="1" applyFill="1" applyBorder="1" applyAlignment="1">
      <alignment horizontal="center" wrapText="1"/>
    </xf>
  </cellXfs>
  <cellStyles count="2">
    <cellStyle name="Normal" xfId="0" builtinId="0"/>
    <cellStyle name="Normal_Sheet1" xfId="1" xr:uid="{5EA0FA5F-D603-4510-B616-11DB13F36F2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C74BA3-3317-4321-A356-9FD155EE852A}">
  <dimension ref="A1:P54"/>
  <sheetViews>
    <sheetView tabSelected="1" workbookViewId="0">
      <selection activeCell="D11" sqref="D11"/>
    </sheetView>
  </sheetViews>
  <sheetFormatPr defaultRowHeight="15" x14ac:dyDescent="0.25"/>
  <cols>
    <col min="1" max="1" width="15.5703125" customWidth="1"/>
    <col min="2" max="2" width="15" customWidth="1"/>
    <col min="3" max="3" width="14.85546875" style="8" customWidth="1"/>
    <col min="4" max="4" width="16.7109375" customWidth="1"/>
    <col min="5" max="5" width="14.42578125" customWidth="1"/>
    <col min="6" max="6" width="12.28515625" bestFit="1" customWidth="1"/>
    <col min="7" max="7" width="14.28515625" customWidth="1"/>
    <col min="8" max="8" width="14.5703125" bestFit="1" customWidth="1"/>
    <col min="9" max="9" width="12.28515625" bestFit="1" customWidth="1"/>
    <col min="10" max="11" width="14.5703125" bestFit="1" customWidth="1"/>
    <col min="12" max="12" width="15.28515625" customWidth="1"/>
    <col min="13" max="14" width="14.5703125" bestFit="1" customWidth="1"/>
    <col min="15" max="15" width="12.28515625" bestFit="1" customWidth="1"/>
    <col min="16" max="16" width="16.5703125" customWidth="1"/>
  </cols>
  <sheetData>
    <row r="1" spans="1:16" ht="75" x14ac:dyDescent="0.25">
      <c r="A1" s="13" t="s">
        <v>0</v>
      </c>
      <c r="B1" s="10" t="s">
        <v>32</v>
      </c>
      <c r="C1" s="11" t="s">
        <v>22</v>
      </c>
      <c r="D1" s="10" t="s">
        <v>23</v>
      </c>
      <c r="E1" s="3" t="s">
        <v>33</v>
      </c>
      <c r="F1" s="5" t="s">
        <v>24</v>
      </c>
      <c r="G1" s="10" t="s">
        <v>28</v>
      </c>
      <c r="H1" s="3" t="s">
        <v>34</v>
      </c>
      <c r="I1" s="5" t="s">
        <v>25</v>
      </c>
      <c r="J1" s="10" t="s">
        <v>29</v>
      </c>
      <c r="K1" s="3" t="s">
        <v>35</v>
      </c>
      <c r="L1" s="11" t="s">
        <v>26</v>
      </c>
      <c r="M1" s="10" t="s">
        <v>30</v>
      </c>
      <c r="N1" s="3" t="s">
        <v>36</v>
      </c>
      <c r="O1" s="11" t="s">
        <v>27</v>
      </c>
      <c r="P1" s="10" t="s">
        <v>31</v>
      </c>
    </row>
    <row r="2" spans="1:16" x14ac:dyDescent="0.25">
      <c r="A2" s="1" t="s">
        <v>1</v>
      </c>
      <c r="B2" s="4">
        <v>560144.76989087404</v>
      </c>
      <c r="C2" s="9">
        <v>28007.238494543701</v>
      </c>
      <c r="D2" s="6">
        <v>123231.84937599237</v>
      </c>
      <c r="E2" s="4">
        <v>575828.82344781887</v>
      </c>
      <c r="F2" s="7">
        <v>28791.441172390943</v>
      </c>
      <c r="G2" s="4">
        <f>0.22*E2</f>
        <v>126682.34115852015</v>
      </c>
      <c r="H2" s="4">
        <v>591952.03050435777</v>
      </c>
      <c r="I2" s="7">
        <v>29597.601525217891</v>
      </c>
      <c r="J2" s="4">
        <f>0.22*H2</f>
        <v>130229.44671095871</v>
      </c>
      <c r="K2" s="4">
        <f>H2+L2</f>
        <v>622378.36487228179</v>
      </c>
      <c r="L2" s="7">
        <v>30426.334367923992</v>
      </c>
      <c r="M2" s="4">
        <f>0.22*K2</f>
        <v>136923.240271902</v>
      </c>
      <c r="N2" s="4">
        <f>K2+O2</f>
        <v>653656.63660250767</v>
      </c>
      <c r="O2" s="7">
        <v>31278.271730225868</v>
      </c>
      <c r="P2" s="4">
        <f>0.22*N2</f>
        <v>143804.4600525517</v>
      </c>
    </row>
    <row r="3" spans="1:16" x14ac:dyDescent="0.25">
      <c r="A3" s="2" t="s">
        <v>2</v>
      </c>
      <c r="B3" s="4">
        <v>232020.67609688928</v>
      </c>
      <c r="C3" s="9">
        <v>11601.033804844465</v>
      </c>
      <c r="D3" s="6">
        <v>51044.548741315644</v>
      </c>
      <c r="E3" s="4">
        <v>238517.25502760216</v>
      </c>
      <c r="F3" s="7">
        <v>11925.862751380109</v>
      </c>
      <c r="G3" s="4">
        <f t="shared" ref="G3:G22" si="0">0.22*E3</f>
        <v>52473.796106072477</v>
      </c>
      <c r="H3" s="4">
        <v>245195.73816837501</v>
      </c>
      <c r="I3" s="7">
        <v>12259.786908418751</v>
      </c>
      <c r="J3" s="4">
        <f t="shared" ref="J3:J22" si="1">0.22*H3</f>
        <v>53943.0623970425</v>
      </c>
      <c r="K3" s="4">
        <f t="shared" ref="K3:K22" si="2">H3+L3</f>
        <v>257798.79911022948</v>
      </c>
      <c r="L3" s="7">
        <v>12603.060941854477</v>
      </c>
      <c r="M3" s="4">
        <f t="shared" ref="M3:M22" si="3">0.22*K3</f>
        <v>56715.735804250486</v>
      </c>
      <c r="N3" s="4">
        <f t="shared" ref="N3:N22" si="4">K3+O3</f>
        <v>270754.74575845589</v>
      </c>
      <c r="O3" s="7">
        <v>12955.946648226402</v>
      </c>
      <c r="P3" s="4">
        <f t="shared" ref="P3:P22" si="5">0.22*N3</f>
        <v>59566.044066860297</v>
      </c>
    </row>
    <row r="4" spans="1:16" x14ac:dyDescent="0.25">
      <c r="A4" s="2" t="s">
        <v>3</v>
      </c>
      <c r="B4" s="4">
        <v>253334.11710245689</v>
      </c>
      <c r="C4" s="9">
        <v>12666.705855122846</v>
      </c>
      <c r="D4" s="6">
        <v>55733.505762540517</v>
      </c>
      <c r="E4" s="4">
        <v>260427.47238132567</v>
      </c>
      <c r="F4" s="7">
        <v>13021.373619066284</v>
      </c>
      <c r="G4" s="4">
        <f t="shared" si="0"/>
        <v>57294.043923891652</v>
      </c>
      <c r="H4" s="4">
        <v>267719.44160800282</v>
      </c>
      <c r="I4" s="7">
        <v>13385.972080400141</v>
      </c>
      <c r="J4" s="4">
        <f t="shared" si="1"/>
        <v>58898.277153760617</v>
      </c>
      <c r="K4" s="4">
        <f t="shared" si="2"/>
        <v>281480.22090665414</v>
      </c>
      <c r="L4" s="7">
        <v>13760.779298651345</v>
      </c>
      <c r="M4" s="4">
        <f t="shared" si="3"/>
        <v>61925.648599463908</v>
      </c>
      <c r="N4" s="4">
        <f t="shared" si="4"/>
        <v>295626.30202566774</v>
      </c>
      <c r="O4" s="7">
        <v>14146.081119013581</v>
      </c>
      <c r="P4" s="4">
        <f t="shared" si="5"/>
        <v>65037.786445646903</v>
      </c>
    </row>
    <row r="5" spans="1:16" x14ac:dyDescent="0.25">
      <c r="A5" s="2" t="s">
        <v>4</v>
      </c>
      <c r="B5" s="4">
        <v>431265.4109668993</v>
      </c>
      <c r="C5" s="9">
        <v>21563.270548344968</v>
      </c>
      <c r="D5" s="6">
        <v>94878.390412717854</v>
      </c>
      <c r="E5" s="4">
        <v>443340.84247397247</v>
      </c>
      <c r="F5" s="7">
        <v>22167.042123698626</v>
      </c>
      <c r="G5" s="4">
        <f t="shared" si="0"/>
        <v>97534.98534427394</v>
      </c>
      <c r="H5" s="4">
        <v>455754.38606324373</v>
      </c>
      <c r="I5" s="7">
        <v>22787.719303162186</v>
      </c>
      <c r="J5" s="4">
        <f t="shared" si="1"/>
        <v>100265.96493391362</v>
      </c>
      <c r="K5" s="4">
        <f t="shared" si="2"/>
        <v>479180.16150689445</v>
      </c>
      <c r="L5" s="7">
        <v>23425.775443650728</v>
      </c>
      <c r="M5" s="4">
        <f t="shared" si="3"/>
        <v>105419.63553151677</v>
      </c>
      <c r="N5" s="4">
        <f t="shared" si="4"/>
        <v>503261.8586629674</v>
      </c>
      <c r="O5" s="7">
        <v>24081.697156072947</v>
      </c>
      <c r="P5" s="4">
        <f t="shared" si="5"/>
        <v>110717.60890585283</v>
      </c>
    </row>
    <row r="6" spans="1:16" x14ac:dyDescent="0.25">
      <c r="A6" s="2" t="s">
        <v>5</v>
      </c>
      <c r="B6" s="4">
        <v>170398.57754738774</v>
      </c>
      <c r="C6" s="9">
        <v>8519.9288773693879</v>
      </c>
      <c r="D6" s="6">
        <v>37487.687060425305</v>
      </c>
      <c r="E6" s="4">
        <v>175169.7377187146</v>
      </c>
      <c r="F6" s="7">
        <v>8758.4868859357302</v>
      </c>
      <c r="G6" s="4">
        <f t="shared" si="0"/>
        <v>38537.342298117212</v>
      </c>
      <c r="H6" s="4">
        <v>180074.49037483861</v>
      </c>
      <c r="I6" s="7">
        <v>9003.7245187419303</v>
      </c>
      <c r="J6" s="4">
        <f t="shared" si="1"/>
        <v>39616.387882464493</v>
      </c>
      <c r="K6" s="4">
        <f t="shared" si="2"/>
        <v>189330.31918010532</v>
      </c>
      <c r="L6" s="7">
        <v>9255.8288052667049</v>
      </c>
      <c r="M6" s="4">
        <f t="shared" si="3"/>
        <v>41652.670219623171</v>
      </c>
      <c r="N6" s="4">
        <f t="shared" si="4"/>
        <v>198845.31119191949</v>
      </c>
      <c r="O6" s="7">
        <v>9514.9920118141727</v>
      </c>
      <c r="P6" s="4">
        <f t="shared" si="5"/>
        <v>43745.968462222292</v>
      </c>
    </row>
    <row r="7" spans="1:16" x14ac:dyDescent="0.25">
      <c r="A7" s="2" t="s">
        <v>6</v>
      </c>
      <c r="B7" s="4">
        <v>286069.2018929036</v>
      </c>
      <c r="C7" s="9">
        <v>14303.460094645181</v>
      </c>
      <c r="D7" s="6">
        <v>62935.224416438788</v>
      </c>
      <c r="E7" s="4">
        <v>294079.13954590488</v>
      </c>
      <c r="F7" s="7">
        <v>14703.956977295245</v>
      </c>
      <c r="G7" s="4">
        <f t="shared" si="0"/>
        <v>64697.410700099077</v>
      </c>
      <c r="H7" s="4">
        <v>302313.35545319022</v>
      </c>
      <c r="I7" s="7">
        <v>15115.667772659512</v>
      </c>
      <c r="J7" s="4">
        <f t="shared" si="1"/>
        <v>66508.93819970185</v>
      </c>
      <c r="K7" s="4">
        <f t="shared" si="2"/>
        <v>317852.26192348421</v>
      </c>
      <c r="L7" s="7">
        <v>15538.906470293978</v>
      </c>
      <c r="M7" s="4">
        <f t="shared" si="3"/>
        <v>69927.49762316652</v>
      </c>
      <c r="N7" s="4">
        <f t="shared" si="4"/>
        <v>333826.2577749464</v>
      </c>
      <c r="O7" s="7">
        <v>15973.99585146221</v>
      </c>
      <c r="P7" s="4">
        <f t="shared" si="5"/>
        <v>73441.776710488208</v>
      </c>
    </row>
    <row r="8" spans="1:16" x14ac:dyDescent="0.25">
      <c r="A8" s="2" t="s">
        <v>7</v>
      </c>
      <c r="B8" s="4">
        <v>239706.22575022807</v>
      </c>
      <c r="C8" s="9">
        <v>11985.311287511404</v>
      </c>
      <c r="D8" s="6">
        <v>52735.369665050173</v>
      </c>
      <c r="E8" s="4">
        <v>246418.00007123445</v>
      </c>
      <c r="F8" s="7">
        <v>12320.900003561723</v>
      </c>
      <c r="G8" s="4">
        <f t="shared" si="0"/>
        <v>54211.960015671582</v>
      </c>
      <c r="H8" s="4">
        <v>253317.70407322902</v>
      </c>
      <c r="I8" s="7">
        <v>12665.885203661452</v>
      </c>
      <c r="J8" s="4">
        <f t="shared" si="1"/>
        <v>55729.894896110382</v>
      </c>
      <c r="K8" s="4">
        <f t="shared" si="2"/>
        <v>266338.23406259296</v>
      </c>
      <c r="L8" s="7">
        <v>13020.529989363973</v>
      </c>
      <c r="M8" s="4">
        <f t="shared" si="3"/>
        <v>58594.411493770451</v>
      </c>
      <c r="N8" s="4">
        <f t="shared" si="4"/>
        <v>279723.33889165911</v>
      </c>
      <c r="O8" s="7">
        <v>13385.104829066164</v>
      </c>
      <c r="P8" s="4">
        <f t="shared" si="5"/>
        <v>61539.134556165001</v>
      </c>
    </row>
    <row r="9" spans="1:16" x14ac:dyDescent="0.25">
      <c r="A9" s="2" t="s">
        <v>8</v>
      </c>
      <c r="B9" s="4">
        <v>145845.37245286591</v>
      </c>
      <c r="C9" s="9">
        <v>7292.2686226432961</v>
      </c>
      <c r="D9" s="6">
        <v>32085.981939630499</v>
      </c>
      <c r="E9" s="4">
        <v>149929.04288154616</v>
      </c>
      <c r="F9" s="7">
        <v>7496.4521440773087</v>
      </c>
      <c r="G9" s="4">
        <f t="shared" si="0"/>
        <v>32984.38943394016</v>
      </c>
      <c r="H9" s="4">
        <v>154127.05608222945</v>
      </c>
      <c r="I9" s="7">
        <v>7706.3528041114732</v>
      </c>
      <c r="J9" s="4">
        <f t="shared" si="1"/>
        <v>33907.952338090479</v>
      </c>
      <c r="K9" s="4">
        <f t="shared" si="2"/>
        <v>162049.18676485604</v>
      </c>
      <c r="L9" s="7">
        <v>7922.1306826265936</v>
      </c>
      <c r="M9" s="4">
        <f t="shared" si="3"/>
        <v>35650.821088268327</v>
      </c>
      <c r="N9" s="4">
        <f t="shared" si="4"/>
        <v>170193.13710659617</v>
      </c>
      <c r="O9" s="7">
        <v>8143.9503417401393</v>
      </c>
      <c r="P9" s="4">
        <f t="shared" si="5"/>
        <v>37442.490163451155</v>
      </c>
    </row>
    <row r="10" spans="1:16" x14ac:dyDescent="0.25">
      <c r="A10" s="2" t="s">
        <v>9</v>
      </c>
      <c r="B10" s="4">
        <v>239435.36270869488</v>
      </c>
      <c r="C10" s="9">
        <v>11971.768135434744</v>
      </c>
      <c r="D10" s="6">
        <v>52675.779795912873</v>
      </c>
      <c r="E10" s="4">
        <v>246139.55286453833</v>
      </c>
      <c r="F10" s="7">
        <v>12306.977643226917</v>
      </c>
      <c r="G10" s="4">
        <f t="shared" si="0"/>
        <v>54150.701630198433</v>
      </c>
      <c r="H10" s="4">
        <v>253031.4603447454</v>
      </c>
      <c r="I10" s="7">
        <v>12651.573017237271</v>
      </c>
      <c r="J10" s="4">
        <f t="shared" si="1"/>
        <v>55666.92127584399</v>
      </c>
      <c r="K10" s="4">
        <f t="shared" si="2"/>
        <v>266037.27740646532</v>
      </c>
      <c r="L10" s="7">
        <v>13005.817061719914</v>
      </c>
      <c r="M10" s="4">
        <f t="shared" si="3"/>
        <v>58528.201029422373</v>
      </c>
      <c r="N10" s="4">
        <f t="shared" si="4"/>
        <v>279407.25734591339</v>
      </c>
      <c r="O10" s="7">
        <v>13369.979939448072</v>
      </c>
      <c r="P10" s="4">
        <f t="shared" si="5"/>
        <v>61469.596616100942</v>
      </c>
    </row>
    <row r="11" spans="1:16" x14ac:dyDescent="0.25">
      <c r="A11" s="2" t="s">
        <v>10</v>
      </c>
      <c r="B11" s="4">
        <v>651861.41687621071</v>
      </c>
      <c r="C11" s="9">
        <v>32593.070843810536</v>
      </c>
      <c r="D11" s="6">
        <v>143409.51171276637</v>
      </c>
      <c r="E11" s="4">
        <v>670113.53654874465</v>
      </c>
      <c r="F11" s="7">
        <v>33505.676827437237</v>
      </c>
      <c r="G11" s="4">
        <f t="shared" si="0"/>
        <v>147424.97804072383</v>
      </c>
      <c r="H11" s="4">
        <v>688876.71557210945</v>
      </c>
      <c r="I11" s="7">
        <v>34443.835778605477</v>
      </c>
      <c r="J11" s="4">
        <f t="shared" si="1"/>
        <v>151552.87742586408</v>
      </c>
      <c r="K11" s="4">
        <f t="shared" si="2"/>
        <v>724284.97875251586</v>
      </c>
      <c r="L11" s="7">
        <v>35408.263180406429</v>
      </c>
      <c r="M11" s="4">
        <f t="shared" si="3"/>
        <v>159342.6953255535</v>
      </c>
      <c r="N11" s="4">
        <f t="shared" si="4"/>
        <v>760684.67330197361</v>
      </c>
      <c r="O11" s="7">
        <v>36399.694549457803</v>
      </c>
      <c r="P11" s="4">
        <f t="shared" si="5"/>
        <v>167350.6281264342</v>
      </c>
    </row>
    <row r="12" spans="1:16" x14ac:dyDescent="0.25">
      <c r="A12" s="2" t="s">
        <v>11</v>
      </c>
      <c r="B12" s="4">
        <v>314266.19583665562</v>
      </c>
      <c r="C12" s="9">
        <v>15713.309791832782</v>
      </c>
      <c r="D12" s="6">
        <v>69138.563084064241</v>
      </c>
      <c r="E12" s="4">
        <v>323065.64932008198</v>
      </c>
      <c r="F12" s="7">
        <v>16153.282466004101</v>
      </c>
      <c r="G12" s="4">
        <f t="shared" si="0"/>
        <v>71074.44285041804</v>
      </c>
      <c r="H12" s="4">
        <v>332111.48750104429</v>
      </c>
      <c r="I12" s="7">
        <v>16605.574375052216</v>
      </c>
      <c r="J12" s="4">
        <f t="shared" si="1"/>
        <v>73064.527250229745</v>
      </c>
      <c r="K12" s="4">
        <f t="shared" si="2"/>
        <v>349182.01795859798</v>
      </c>
      <c r="L12" s="7">
        <v>17070.530457553679</v>
      </c>
      <c r="M12" s="4">
        <f t="shared" si="3"/>
        <v>76820.043950891559</v>
      </c>
      <c r="N12" s="4">
        <f t="shared" si="4"/>
        <v>366730.52326896315</v>
      </c>
      <c r="O12" s="7">
        <v>17548.505310365181</v>
      </c>
      <c r="P12" s="4">
        <f t="shared" si="5"/>
        <v>80680.715119171888</v>
      </c>
    </row>
    <row r="13" spans="1:16" x14ac:dyDescent="0.25">
      <c r="A13" s="2" t="s">
        <v>12</v>
      </c>
      <c r="B13" s="4">
        <v>457225.8933163149</v>
      </c>
      <c r="C13" s="9">
        <v>22861.294665815745</v>
      </c>
      <c r="D13" s="6">
        <v>100589.69652958927</v>
      </c>
      <c r="E13" s="4">
        <v>470028.21832917171</v>
      </c>
      <c r="F13" s="7">
        <v>23501.410916458586</v>
      </c>
      <c r="G13" s="4">
        <f t="shared" si="0"/>
        <v>103406.20803241778</v>
      </c>
      <c r="H13" s="4">
        <v>483189.0084423885</v>
      </c>
      <c r="I13" s="7">
        <v>24159.450422119426</v>
      </c>
      <c r="J13" s="4">
        <f t="shared" si="1"/>
        <v>106301.58185732547</v>
      </c>
      <c r="K13" s="4">
        <f t="shared" si="2"/>
        <v>508024.92347632727</v>
      </c>
      <c r="L13" s="7">
        <v>24835.915033938771</v>
      </c>
      <c r="M13" s="4">
        <f t="shared" si="3"/>
        <v>111765.48316479199</v>
      </c>
      <c r="N13" s="4">
        <f t="shared" si="4"/>
        <v>533556.24413121631</v>
      </c>
      <c r="O13" s="7">
        <v>25531.320654889056</v>
      </c>
      <c r="P13" s="4">
        <f t="shared" si="5"/>
        <v>117382.37370886758</v>
      </c>
    </row>
    <row r="14" spans="1:16" x14ac:dyDescent="0.25">
      <c r="A14" s="2" t="s">
        <v>13</v>
      </c>
      <c r="B14" s="4">
        <v>224657.43833096165</v>
      </c>
      <c r="C14" s="9">
        <v>11232.871916548083</v>
      </c>
      <c r="D14" s="6">
        <v>49424.636432811567</v>
      </c>
      <c r="E14" s="4">
        <v>230947.84660422857</v>
      </c>
      <c r="F14" s="7">
        <v>11547.392330211429</v>
      </c>
      <c r="G14" s="4">
        <f t="shared" si="0"/>
        <v>50808.526252930285</v>
      </c>
      <c r="H14" s="4">
        <v>237414.38630914697</v>
      </c>
      <c r="I14" s="7">
        <v>11870.719315457349</v>
      </c>
      <c r="J14" s="4">
        <f t="shared" si="1"/>
        <v>52231.164988012337</v>
      </c>
      <c r="K14" s="4">
        <f t="shared" si="2"/>
        <v>249617.48576543713</v>
      </c>
      <c r="L14" s="7">
        <v>12203.099456290154</v>
      </c>
      <c r="M14" s="4">
        <f t="shared" si="3"/>
        <v>54915.846868396169</v>
      </c>
      <c r="N14" s="4">
        <f t="shared" si="4"/>
        <v>262162.27200650342</v>
      </c>
      <c r="O14" s="7">
        <v>12544.786241066278</v>
      </c>
      <c r="P14" s="4">
        <f t="shared" si="5"/>
        <v>57675.699841430753</v>
      </c>
    </row>
    <row r="15" spans="1:16" x14ac:dyDescent="0.25">
      <c r="A15" s="2" t="s">
        <v>14</v>
      </c>
      <c r="B15" s="4">
        <v>238433.62341542638</v>
      </c>
      <c r="C15" s="9">
        <v>11921.68117077132</v>
      </c>
      <c r="D15" s="6">
        <v>52455.397151393801</v>
      </c>
      <c r="E15" s="4">
        <v>245109.76487105832</v>
      </c>
      <c r="F15" s="7">
        <v>12255.488243552916</v>
      </c>
      <c r="G15" s="4">
        <f t="shared" si="0"/>
        <v>53924.148271632832</v>
      </c>
      <c r="H15" s="4">
        <v>251972.83828744796</v>
      </c>
      <c r="I15" s="7">
        <v>12598.641914372398</v>
      </c>
      <c r="J15" s="4">
        <f t="shared" si="1"/>
        <v>55434.024423238552</v>
      </c>
      <c r="K15" s="4">
        <f t="shared" si="2"/>
        <v>264924.24217542278</v>
      </c>
      <c r="L15" s="7">
        <v>12951.403887974826</v>
      </c>
      <c r="M15" s="4">
        <f t="shared" si="3"/>
        <v>58283.333278593011</v>
      </c>
      <c r="N15" s="4">
        <f t="shared" si="4"/>
        <v>278238.2853722609</v>
      </c>
      <c r="O15" s="7">
        <v>13314.04319683812</v>
      </c>
      <c r="P15" s="4">
        <f t="shared" si="5"/>
        <v>61212.422781897396</v>
      </c>
    </row>
    <row r="16" spans="1:16" x14ac:dyDescent="0.25">
      <c r="A16" s="2" t="s">
        <v>15</v>
      </c>
      <c r="B16" s="4">
        <v>353571.6008859718</v>
      </c>
      <c r="C16" s="9">
        <v>17678.580044298589</v>
      </c>
      <c r="D16" s="6">
        <v>77785.752194913803</v>
      </c>
      <c r="E16" s="4">
        <v>363471.60571077903</v>
      </c>
      <c r="F16" s="7">
        <v>18173.580285538952</v>
      </c>
      <c r="G16" s="4">
        <f t="shared" si="0"/>
        <v>79963.75325637139</v>
      </c>
      <c r="H16" s="4">
        <v>373648.81067068083</v>
      </c>
      <c r="I16" s="7">
        <v>18682.440533534042</v>
      </c>
      <c r="J16" s="4">
        <f t="shared" si="1"/>
        <v>82202.738347549777</v>
      </c>
      <c r="K16" s="4">
        <f t="shared" si="2"/>
        <v>392854.35953915381</v>
      </c>
      <c r="L16" s="7">
        <v>19205.548868472993</v>
      </c>
      <c r="M16" s="4">
        <f t="shared" si="3"/>
        <v>86427.959098613836</v>
      </c>
      <c r="N16" s="4">
        <f t="shared" si="4"/>
        <v>412597.66377594403</v>
      </c>
      <c r="O16" s="7">
        <v>19743.304236790238</v>
      </c>
      <c r="P16" s="4">
        <f t="shared" si="5"/>
        <v>90771.486030707689</v>
      </c>
    </row>
    <row r="17" spans="1:16" x14ac:dyDescent="0.25">
      <c r="A17" s="2" t="s">
        <v>16</v>
      </c>
      <c r="B17" s="4">
        <v>335747.60219200101</v>
      </c>
      <c r="C17" s="9">
        <v>16787.38010960005</v>
      </c>
      <c r="D17" s="6">
        <v>73864.47248224022</v>
      </c>
      <c r="E17" s="4">
        <v>345148.53505337704</v>
      </c>
      <c r="F17" s="7">
        <v>17257.426752668853</v>
      </c>
      <c r="G17" s="4">
        <f t="shared" si="0"/>
        <v>75932.677711742945</v>
      </c>
      <c r="H17" s="4">
        <v>354812.69403487159</v>
      </c>
      <c r="I17" s="7">
        <v>17740.63470174358</v>
      </c>
      <c r="J17" s="4">
        <f t="shared" si="1"/>
        <v>78058.792687671754</v>
      </c>
      <c r="K17" s="4">
        <f t="shared" si="2"/>
        <v>373050.06650826399</v>
      </c>
      <c r="L17" s="7">
        <v>18237.372473392399</v>
      </c>
      <c r="M17" s="4">
        <f t="shared" si="3"/>
        <v>82071.014631818078</v>
      </c>
      <c r="N17" s="4">
        <f t="shared" si="4"/>
        <v>391798.08541091136</v>
      </c>
      <c r="O17" s="7">
        <v>18748.018902647389</v>
      </c>
      <c r="P17" s="4">
        <f t="shared" si="5"/>
        <v>86195.578790400497</v>
      </c>
    </row>
    <row r="18" spans="1:16" x14ac:dyDescent="0.25">
      <c r="A18" s="2" t="s">
        <v>17</v>
      </c>
      <c r="B18" s="4">
        <v>189062.4029902468</v>
      </c>
      <c r="C18" s="9">
        <v>9453.1201495123405</v>
      </c>
      <c r="D18" s="6">
        <v>41593.728657854299</v>
      </c>
      <c r="E18" s="4">
        <v>194356.1502739737</v>
      </c>
      <c r="F18" s="7">
        <v>9717.8075136986863</v>
      </c>
      <c r="G18" s="4">
        <f t="shared" si="0"/>
        <v>42758.353060274218</v>
      </c>
      <c r="H18" s="4">
        <v>199798.12248164497</v>
      </c>
      <c r="I18" s="7">
        <v>9989.9061240822484</v>
      </c>
      <c r="J18" s="4">
        <f t="shared" si="1"/>
        <v>43955.586945961892</v>
      </c>
      <c r="K18" s="4">
        <f t="shared" si="2"/>
        <v>210067.74597720153</v>
      </c>
      <c r="L18" s="7">
        <v>10269.623495556552</v>
      </c>
      <c r="M18" s="4">
        <f t="shared" si="3"/>
        <v>46214.90411498434</v>
      </c>
      <c r="N18" s="4">
        <f t="shared" si="4"/>
        <v>220624.91893063366</v>
      </c>
      <c r="O18" s="7">
        <v>10557.172953432135</v>
      </c>
      <c r="P18" s="4">
        <f t="shared" si="5"/>
        <v>48537.482164739406</v>
      </c>
    </row>
    <row r="19" spans="1:16" x14ac:dyDescent="0.25">
      <c r="A19" s="2" t="s">
        <v>18</v>
      </c>
      <c r="B19" s="4">
        <v>206797.12280460628</v>
      </c>
      <c r="C19" s="9">
        <v>10339.856140230315</v>
      </c>
      <c r="D19" s="6">
        <v>45495.367017013377</v>
      </c>
      <c r="E19" s="4">
        <v>212587.44224313524</v>
      </c>
      <c r="F19" s="7">
        <v>10629.372112156763</v>
      </c>
      <c r="G19" s="4">
        <f t="shared" si="0"/>
        <v>46769.23729348975</v>
      </c>
      <c r="H19" s="4">
        <v>218539.89062594302</v>
      </c>
      <c r="I19" s="7">
        <v>10926.994531297152</v>
      </c>
      <c r="J19" s="4">
        <f t="shared" si="1"/>
        <v>48078.775937707462</v>
      </c>
      <c r="K19" s="4">
        <f t="shared" si="2"/>
        <v>229772.84100411649</v>
      </c>
      <c r="L19" s="7">
        <v>11232.950378173473</v>
      </c>
      <c r="M19" s="4">
        <f t="shared" si="3"/>
        <v>50550.025020905625</v>
      </c>
      <c r="N19" s="4">
        <f t="shared" si="4"/>
        <v>241320.31399287883</v>
      </c>
      <c r="O19" s="7">
        <v>11547.472988762331</v>
      </c>
      <c r="P19" s="4">
        <f t="shared" si="5"/>
        <v>53090.469078433343</v>
      </c>
    </row>
    <row r="20" spans="1:16" x14ac:dyDescent="0.25">
      <c r="A20" s="2" t="s">
        <v>19</v>
      </c>
      <c r="B20" s="4">
        <v>260883.47863435443</v>
      </c>
      <c r="C20" s="9">
        <v>13044.173931717722</v>
      </c>
      <c r="D20" s="6">
        <v>57394.365299557976</v>
      </c>
      <c r="E20" s="4">
        <v>268188.21603611636</v>
      </c>
      <c r="F20" s="7">
        <v>13409.410801805818</v>
      </c>
      <c r="G20" s="4">
        <f t="shared" si="0"/>
        <v>59001.407527945601</v>
      </c>
      <c r="H20" s="4">
        <v>275697.48608512763</v>
      </c>
      <c r="I20" s="7">
        <v>13784.874304256382</v>
      </c>
      <c r="J20" s="4">
        <f t="shared" si="1"/>
        <v>60653.446938728077</v>
      </c>
      <c r="K20" s="4">
        <f t="shared" si="2"/>
        <v>289868.3368699032</v>
      </c>
      <c r="L20" s="7">
        <v>14170.850784775561</v>
      </c>
      <c r="M20" s="4">
        <f t="shared" si="3"/>
        <v>63771.034111378707</v>
      </c>
      <c r="N20" s="4">
        <f t="shared" si="4"/>
        <v>304435.97147665248</v>
      </c>
      <c r="O20" s="7">
        <v>14567.634606749278</v>
      </c>
      <c r="P20" s="4">
        <f t="shared" si="5"/>
        <v>66975.913724863552</v>
      </c>
    </row>
    <row r="21" spans="1:16" x14ac:dyDescent="0.25">
      <c r="A21" s="2" t="s">
        <v>20</v>
      </c>
      <c r="B21" s="4">
        <v>283268.2661952604</v>
      </c>
      <c r="C21" s="9">
        <v>14163.41330976302</v>
      </c>
      <c r="D21" s="6">
        <v>62319.018562957288</v>
      </c>
      <c r="E21" s="4">
        <v>291199.7776487277</v>
      </c>
      <c r="F21" s="7">
        <v>14559.988882436386</v>
      </c>
      <c r="G21" s="4">
        <f t="shared" si="0"/>
        <v>64063.951082720094</v>
      </c>
      <c r="H21" s="4">
        <v>299353.37142289209</v>
      </c>
      <c r="I21" s="7">
        <v>14967.668571144604</v>
      </c>
      <c r="J21" s="4">
        <f t="shared" si="1"/>
        <v>65857.741713036259</v>
      </c>
      <c r="K21" s="4">
        <f t="shared" si="2"/>
        <v>314740.13471402874</v>
      </c>
      <c r="L21" s="7">
        <v>15386.763291136653</v>
      </c>
      <c r="M21" s="4">
        <f t="shared" si="3"/>
        <v>69242.829637086325</v>
      </c>
      <c r="N21" s="4">
        <f t="shared" si="4"/>
        <v>330557.72737731721</v>
      </c>
      <c r="O21" s="7">
        <v>15817.59266328848</v>
      </c>
      <c r="P21" s="4">
        <f t="shared" si="5"/>
        <v>72722.700023009791</v>
      </c>
    </row>
    <row r="22" spans="1:16" x14ac:dyDescent="0.25">
      <c r="A22" s="2" t="s">
        <v>21</v>
      </c>
      <c r="B22" s="4">
        <v>254261.70952960729</v>
      </c>
      <c r="C22" s="9">
        <v>12713.085476480366</v>
      </c>
      <c r="D22" s="6">
        <v>55937.576096513607</v>
      </c>
      <c r="E22" s="4">
        <v>261381.0373964363</v>
      </c>
      <c r="F22" s="7">
        <v>13069.051869821815</v>
      </c>
      <c r="G22" s="4">
        <f t="shared" si="0"/>
        <v>57503.828227215985</v>
      </c>
      <c r="H22" s="4">
        <v>268699.7064435365</v>
      </c>
      <c r="I22" s="7">
        <v>13434.985322176826</v>
      </c>
      <c r="J22" s="4">
        <f t="shared" si="1"/>
        <v>59113.935417578032</v>
      </c>
      <c r="K22" s="4">
        <f t="shared" si="2"/>
        <v>282510.87135473429</v>
      </c>
      <c r="L22" s="7">
        <v>13811.164911197775</v>
      </c>
      <c r="M22" s="4">
        <f t="shared" si="3"/>
        <v>62152.391698041545</v>
      </c>
      <c r="N22" s="4">
        <f t="shared" si="4"/>
        <v>296708.74888344563</v>
      </c>
      <c r="O22" s="7">
        <v>14197.877528711313</v>
      </c>
      <c r="P22" s="4">
        <f t="shared" si="5"/>
        <v>65275.924754358042</v>
      </c>
    </row>
    <row r="23" spans="1:16" x14ac:dyDescent="0.25">
      <c r="C23" s="12"/>
    </row>
    <row r="24" spans="1:16" x14ac:dyDescent="0.25">
      <c r="C24" s="12"/>
    </row>
    <row r="25" spans="1:16" x14ac:dyDescent="0.25">
      <c r="C25" s="12"/>
    </row>
    <row r="26" spans="1:16" x14ac:dyDescent="0.25">
      <c r="C26" s="12"/>
    </row>
    <row r="27" spans="1:16" x14ac:dyDescent="0.25">
      <c r="C27" s="12"/>
    </row>
    <row r="28" spans="1:16" x14ac:dyDescent="0.25">
      <c r="C28" s="12"/>
    </row>
    <row r="29" spans="1:16" x14ac:dyDescent="0.25">
      <c r="C29" s="12"/>
    </row>
    <row r="30" spans="1:16" x14ac:dyDescent="0.25">
      <c r="C30" s="12"/>
    </row>
    <row r="31" spans="1:16" x14ac:dyDescent="0.25">
      <c r="C31" s="12"/>
    </row>
    <row r="32" spans="1:16" x14ac:dyDescent="0.25">
      <c r="C32" s="12"/>
    </row>
    <row r="33" spans="3:3" x14ac:dyDescent="0.25">
      <c r="C33" s="12"/>
    </row>
    <row r="34" spans="3:3" x14ac:dyDescent="0.25">
      <c r="C34" s="12"/>
    </row>
    <row r="35" spans="3:3" x14ac:dyDescent="0.25">
      <c r="C35" s="12"/>
    </row>
    <row r="36" spans="3:3" x14ac:dyDescent="0.25">
      <c r="C36" s="12"/>
    </row>
    <row r="37" spans="3:3" x14ac:dyDescent="0.25">
      <c r="C37" s="12"/>
    </row>
    <row r="38" spans="3:3" x14ac:dyDescent="0.25">
      <c r="C38" s="12"/>
    </row>
    <row r="39" spans="3:3" x14ac:dyDescent="0.25">
      <c r="C39" s="12"/>
    </row>
    <row r="40" spans="3:3" x14ac:dyDescent="0.25">
      <c r="C40" s="12"/>
    </row>
    <row r="41" spans="3:3" x14ac:dyDescent="0.25">
      <c r="C41" s="12"/>
    </row>
    <row r="42" spans="3:3" x14ac:dyDescent="0.25">
      <c r="C42" s="12"/>
    </row>
    <row r="43" spans="3:3" x14ac:dyDescent="0.25">
      <c r="C43" s="12"/>
    </row>
    <row r="44" spans="3:3" x14ac:dyDescent="0.25">
      <c r="C44" s="12"/>
    </row>
    <row r="45" spans="3:3" x14ac:dyDescent="0.25">
      <c r="C45" s="12"/>
    </row>
    <row r="46" spans="3:3" x14ac:dyDescent="0.25">
      <c r="C46" s="12"/>
    </row>
    <row r="47" spans="3:3" x14ac:dyDescent="0.25">
      <c r="C47" s="12"/>
    </row>
    <row r="48" spans="3:3" x14ac:dyDescent="0.25">
      <c r="C48" s="12"/>
    </row>
    <row r="49" spans="3:3" x14ac:dyDescent="0.25">
      <c r="C49" s="12"/>
    </row>
    <row r="50" spans="3:3" x14ac:dyDescent="0.25">
      <c r="C50" s="12"/>
    </row>
    <row r="51" spans="3:3" x14ac:dyDescent="0.25">
      <c r="C51" s="12"/>
    </row>
    <row r="52" spans="3:3" x14ac:dyDescent="0.25">
      <c r="C52" s="12"/>
    </row>
    <row r="53" spans="3:3" x14ac:dyDescent="0.25">
      <c r="C53" s="12"/>
    </row>
    <row r="54" spans="3:3" x14ac:dyDescent="0.25">
      <c r="C54" s="1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Imaobong Eyere</dc:creator>
  <cp:lastModifiedBy>so la</cp:lastModifiedBy>
  <dcterms:created xsi:type="dcterms:W3CDTF">2025-04-22T13:53:35Z</dcterms:created>
  <dcterms:modified xsi:type="dcterms:W3CDTF">2025-04-25T15:43:00Z</dcterms:modified>
</cp:coreProperties>
</file>