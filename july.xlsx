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429"/>
  <workbookPr/>
  <mc:AlternateContent xmlns:mc="http://schemas.openxmlformats.org/markup-compatibility/2006">
    <mc:Choice Requires="x15">
      <x15ac:absPath xmlns:x15ac="http://schemas.microsoft.com/office/spreadsheetml/2010/11/ac" url="C:\Users\USER\Documents\NLP\anambra\"/>
    </mc:Choice>
  </mc:AlternateContent>
  <xr:revisionPtr revIDLastSave="0" documentId="13_ncr:1_{BD91B899-C9C7-4A06-8093-05EA91C55255}" xr6:coauthVersionLast="47" xr6:coauthVersionMax="47" xr10:uidLastSave="{00000000-0000-0000-0000-000000000000}"/>
  <bookViews>
    <workbookView xWindow="-120" yWindow="-120" windowWidth="20730" windowHeight="11160" activeTab="1" xr2:uid="{00000000-000D-0000-FFFF-FFFF00000000}"/>
  </bookViews>
  <sheets>
    <sheet name="SCHOOLS SUMMARIES" sheetId="1" r:id="rId1"/>
    <sheet name="STATE OF ORIGIN" sheetId="3" r:id="rId2"/>
    <sheet name="DATA SUMMARIES" sheetId="5" r:id="rId3"/>
    <sheet name="DEMOGRAPHY SUMMARIES" sheetId="6" r:id="rId4"/>
  </sheets>
  <definedNames>
    <definedName name="_xlnm._FilterDatabase" localSheetId="1" hidden="1">'STATE OF ORIGIN'!$B$1:$B$267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O260" i="3" l="1"/>
  <c r="AO261" i="3"/>
  <c r="AO262" i="3"/>
  <c r="AO263" i="3"/>
  <c r="AO264" i="3"/>
  <c r="AO265" i="3"/>
  <c r="AO266" i="3"/>
  <c r="AO267" i="3"/>
  <c r="AO259" i="3"/>
  <c r="AO252" i="3"/>
  <c r="AO253" i="3"/>
  <c r="AO254" i="3"/>
  <c r="AO255" i="3"/>
  <c r="AO256" i="3"/>
  <c r="AO257" i="3"/>
  <c r="AO258" i="3"/>
  <c r="AO251" i="3"/>
  <c r="AO241" i="3"/>
  <c r="AO242" i="3"/>
  <c r="AO243" i="3"/>
  <c r="AO244" i="3"/>
  <c r="AO245" i="3"/>
  <c r="AO246" i="3"/>
  <c r="AO247" i="3"/>
  <c r="AO248" i="3"/>
  <c r="AO249" i="3"/>
  <c r="AO250" i="3"/>
  <c r="AO240" i="3"/>
  <c r="AO231" i="3"/>
  <c r="AO232" i="3"/>
  <c r="AO233" i="3"/>
  <c r="AO234" i="3"/>
  <c r="AO235" i="3"/>
  <c r="AO236" i="3"/>
  <c r="AO237" i="3"/>
  <c r="AO238" i="3"/>
  <c r="AO239" i="3"/>
  <c r="AO230" i="3"/>
  <c r="AO225" i="3" l="1"/>
  <c r="AO226" i="3"/>
  <c r="AO227" i="3"/>
  <c r="AO228" i="3"/>
  <c r="AO229" i="3"/>
  <c r="AO224" i="3"/>
  <c r="AP209" i="3"/>
  <c r="AP210" i="3"/>
  <c r="AP211" i="3"/>
  <c r="AP212" i="3"/>
  <c r="AP213" i="3"/>
  <c r="AP214" i="3"/>
  <c r="AP215" i="3"/>
  <c r="AP216" i="3"/>
  <c r="AP217" i="3"/>
  <c r="AP218" i="3"/>
  <c r="AP219" i="3"/>
  <c r="AP220" i="3"/>
  <c r="AP221" i="3"/>
  <c r="AP222" i="3"/>
  <c r="AP223" i="3"/>
  <c r="AP208" i="3"/>
  <c r="AP198" i="3"/>
  <c r="AP199" i="3"/>
  <c r="AP200" i="3"/>
  <c r="AP201" i="3"/>
  <c r="AP202" i="3"/>
  <c r="AP203" i="3"/>
  <c r="AP204" i="3"/>
  <c r="AP205" i="3"/>
  <c r="AP206" i="3"/>
  <c r="AP207" i="3"/>
  <c r="AP197" i="3"/>
  <c r="AP185" i="3"/>
  <c r="AP186" i="3"/>
  <c r="AP187" i="3"/>
  <c r="AP188" i="3"/>
  <c r="AP189" i="3"/>
  <c r="AP190" i="3"/>
  <c r="AP191" i="3"/>
  <c r="AP192" i="3"/>
  <c r="AP193" i="3"/>
  <c r="AP194" i="3"/>
  <c r="AP195" i="3"/>
  <c r="AP196" i="3"/>
  <c r="AP184" i="3"/>
  <c r="AP169" i="3"/>
  <c r="AP170" i="3"/>
  <c r="AP171" i="3"/>
  <c r="AP172" i="3"/>
  <c r="AP173" i="3"/>
  <c r="AP174" i="3"/>
  <c r="AP175" i="3"/>
  <c r="AP176" i="3"/>
  <c r="AP177" i="3"/>
  <c r="AP178" i="3"/>
  <c r="AP179" i="3"/>
  <c r="AP180" i="3"/>
  <c r="AP181" i="3"/>
  <c r="AP182" i="3"/>
  <c r="AP183" i="3"/>
  <c r="AP168" i="3"/>
  <c r="AR152" i="3"/>
  <c r="AR153" i="3"/>
  <c r="AR154" i="3"/>
  <c r="AR155" i="3"/>
  <c r="AR156" i="3"/>
  <c r="AR157" i="3"/>
  <c r="AR158" i="3"/>
  <c r="AR159" i="3"/>
  <c r="AR160" i="3"/>
  <c r="AR161" i="3"/>
  <c r="AR162" i="3"/>
  <c r="AR163" i="3"/>
  <c r="AR164" i="3"/>
  <c r="AR165" i="3"/>
  <c r="AR166" i="3"/>
  <c r="AR167" i="3"/>
  <c r="AR151" i="3"/>
  <c r="AR144" i="3"/>
  <c r="AR145" i="3"/>
  <c r="AR146" i="3"/>
  <c r="AR147" i="3"/>
  <c r="AR148" i="3"/>
  <c r="AR149" i="3"/>
  <c r="AR150" i="3"/>
  <c r="AR143" i="3"/>
  <c r="AP127" i="3"/>
  <c r="AP128" i="3"/>
  <c r="AP129" i="3"/>
  <c r="AP130" i="3"/>
  <c r="AP131" i="3"/>
  <c r="AP132" i="3"/>
  <c r="AP133" i="3"/>
  <c r="AP134" i="3"/>
  <c r="AP135" i="3"/>
  <c r="AP136" i="3"/>
  <c r="AP137" i="3"/>
  <c r="AP138" i="3"/>
  <c r="AP139" i="3"/>
  <c r="AP140" i="3"/>
  <c r="AP141" i="3"/>
  <c r="AP142" i="3"/>
  <c r="AP126" i="3"/>
  <c r="AP125" i="3"/>
  <c r="AP119" i="3"/>
  <c r="AP120" i="3"/>
  <c r="AP121" i="3"/>
  <c r="AP122" i="3"/>
  <c r="AP123" i="3"/>
  <c r="AP124" i="3"/>
  <c r="AP118" i="3"/>
  <c r="AP108" i="3"/>
  <c r="AP109" i="3"/>
  <c r="AP110" i="3"/>
  <c r="AP111" i="3"/>
  <c r="AP112" i="3"/>
  <c r="AP113" i="3"/>
  <c r="AP114" i="3"/>
  <c r="AP115" i="3"/>
  <c r="AP116" i="3"/>
  <c r="AP117" i="3"/>
  <c r="AP107" i="3"/>
  <c r="AP100" i="3"/>
  <c r="AP101" i="3"/>
  <c r="AP102" i="3"/>
  <c r="AP103" i="3"/>
  <c r="AP104" i="3"/>
  <c r="AP105" i="3"/>
  <c r="AP106" i="3"/>
  <c r="AP99" i="3"/>
  <c r="AP81" i="3"/>
  <c r="AP82" i="3"/>
  <c r="AP83" i="3"/>
  <c r="AP84" i="3"/>
  <c r="AP85" i="3"/>
  <c r="AP86" i="3"/>
  <c r="AP87" i="3"/>
  <c r="AP88" i="3"/>
  <c r="AP89" i="3"/>
  <c r="AP90" i="3"/>
  <c r="AP91" i="3"/>
  <c r="AP92" i="3"/>
  <c r="AP93" i="3"/>
  <c r="AP94" i="3"/>
  <c r="AP95" i="3"/>
  <c r="AP96" i="3"/>
  <c r="AP97" i="3"/>
  <c r="AP98" i="3"/>
  <c r="AP80" i="3"/>
  <c r="AP71" i="3"/>
  <c r="AP72" i="3"/>
  <c r="AP73" i="3"/>
  <c r="AP74" i="3"/>
  <c r="AP75" i="3"/>
  <c r="AP76" i="3"/>
  <c r="AP77" i="3"/>
  <c r="AP78" i="3"/>
  <c r="AP79" i="3"/>
  <c r="AP70" i="3"/>
  <c r="AP55" i="3"/>
  <c r="AP56" i="3"/>
  <c r="AP57" i="3"/>
  <c r="AP58" i="3"/>
  <c r="AP59" i="3"/>
  <c r="AP60" i="3"/>
  <c r="AP61" i="3"/>
  <c r="AP62" i="3"/>
  <c r="AP63" i="3"/>
  <c r="AP64" i="3"/>
  <c r="AP65" i="3"/>
  <c r="AP66" i="3"/>
  <c r="AP67" i="3"/>
  <c r="AP68" i="3"/>
  <c r="AP69" i="3"/>
  <c r="AP54" i="3"/>
  <c r="AP53" i="3"/>
  <c r="AP40" i="3"/>
  <c r="AP41" i="3"/>
  <c r="AP42" i="3"/>
  <c r="AP43" i="3"/>
  <c r="AP44" i="3"/>
  <c r="AP45" i="3"/>
  <c r="AP46" i="3"/>
  <c r="AP47" i="3"/>
  <c r="AP48" i="3"/>
  <c r="AP49" i="3"/>
  <c r="AP50" i="3"/>
  <c r="AP51" i="3"/>
  <c r="AP52" i="3"/>
  <c r="AP39" i="3"/>
  <c r="AP24" i="3"/>
  <c r="AP25" i="3"/>
  <c r="AP26" i="3"/>
  <c r="AP27" i="3"/>
  <c r="AP28" i="3"/>
  <c r="AP29" i="3"/>
  <c r="AP30" i="3"/>
  <c r="AP31" i="3"/>
  <c r="AP32" i="3"/>
  <c r="AP33" i="3"/>
  <c r="AP34" i="3"/>
  <c r="AP35" i="3"/>
  <c r="AP36" i="3"/>
  <c r="AP37" i="3"/>
  <c r="AP38" i="3"/>
  <c r="AP23" i="3"/>
  <c r="AP3" i="3"/>
  <c r="AP4" i="3"/>
  <c r="AP5" i="3"/>
  <c r="AP6" i="3"/>
  <c r="AP7" i="3"/>
  <c r="AP8" i="3"/>
  <c r="AP9" i="3"/>
  <c r="AP10" i="3"/>
  <c r="AP11" i="3"/>
  <c r="AP12" i="3"/>
  <c r="AP13" i="3"/>
  <c r="AP14" i="3"/>
  <c r="AP15" i="3"/>
  <c r="AP16" i="3"/>
  <c r="AP17" i="3"/>
  <c r="AP18" i="3"/>
  <c r="AP19" i="3"/>
  <c r="AP20" i="3"/>
  <c r="AP21" i="3"/>
  <c r="AP22" i="3"/>
  <c r="AP2" i="3"/>
  <c r="AO4" i="3" l="1"/>
  <c r="AO5" i="3"/>
  <c r="AO6" i="3"/>
  <c r="AO8" i="3"/>
  <c r="AO9" i="3"/>
  <c r="AO11" i="3"/>
  <c r="AO12" i="3"/>
  <c r="AO13" i="3"/>
  <c r="AO14" i="3"/>
  <c r="AO15" i="3"/>
  <c r="AO16" i="3"/>
  <c r="AO17" i="3"/>
  <c r="AO18" i="3"/>
  <c r="AO19" i="3"/>
  <c r="AO20" i="3"/>
  <c r="AO21" i="3"/>
  <c r="AO22" i="3"/>
  <c r="AO23" i="3"/>
  <c r="AO26" i="3"/>
  <c r="AO27" i="3"/>
  <c r="AO28" i="3"/>
  <c r="AO29" i="3"/>
  <c r="AO30" i="3"/>
  <c r="AO31" i="3"/>
  <c r="AO32" i="3"/>
  <c r="AO34" i="3"/>
  <c r="AO35" i="3"/>
  <c r="AO36" i="3"/>
  <c r="AO37" i="3"/>
  <c r="AO38" i="3"/>
  <c r="AO39" i="3"/>
  <c r="AO40" i="3"/>
  <c r="AO41" i="3"/>
  <c r="AO42" i="3"/>
  <c r="AO43" i="3"/>
  <c r="AO44" i="3"/>
  <c r="AO45" i="3"/>
  <c r="AO46" i="3"/>
  <c r="AO47" i="3"/>
  <c r="AO48" i="3"/>
  <c r="AO49" i="3"/>
  <c r="AO50" i="3"/>
  <c r="AO51" i="3"/>
  <c r="AO52" i="3"/>
  <c r="AO53" i="3"/>
  <c r="AO54" i="3"/>
  <c r="AO55" i="3"/>
  <c r="AO56" i="3"/>
  <c r="AO57" i="3"/>
  <c r="AO58" i="3"/>
  <c r="AO59" i="3"/>
  <c r="AO61" i="3"/>
  <c r="AO63" i="3"/>
  <c r="AO64" i="3"/>
  <c r="AO66" i="3"/>
  <c r="AO68" i="3"/>
  <c r="AO69" i="3"/>
  <c r="AO70" i="3"/>
  <c r="AO71" i="3"/>
  <c r="AO72" i="3"/>
  <c r="AO73" i="3"/>
  <c r="AO74" i="3"/>
  <c r="AO75" i="3"/>
  <c r="AO76" i="3"/>
  <c r="AO77" i="3"/>
  <c r="AO78" i="3"/>
  <c r="AO79" i="3"/>
  <c r="AO80" i="3"/>
  <c r="AO83" i="3"/>
  <c r="AO84" i="3"/>
  <c r="AO88" i="3"/>
  <c r="AO90" i="3"/>
  <c r="AO91" i="3"/>
  <c r="AO92" i="3"/>
  <c r="AO93" i="3"/>
  <c r="AO94" i="3"/>
  <c r="AO95" i="3"/>
  <c r="AO96" i="3"/>
  <c r="AO97" i="3"/>
  <c r="AO99" i="3"/>
  <c r="AO100" i="3"/>
  <c r="AO101" i="3"/>
  <c r="AO103" i="3"/>
  <c r="AO104" i="3"/>
  <c r="AO105" i="3"/>
  <c r="AO106" i="3"/>
  <c r="AO107" i="3"/>
  <c r="AO108" i="3"/>
  <c r="AO109" i="3"/>
  <c r="AO111" i="3"/>
  <c r="AO113" i="3"/>
  <c r="AO114" i="3"/>
  <c r="AO116" i="3"/>
  <c r="AO117" i="3"/>
  <c r="AO118" i="3"/>
  <c r="AO119" i="3"/>
  <c r="AO120" i="3"/>
  <c r="AO121" i="3"/>
  <c r="AO124" i="3"/>
  <c r="AO125" i="3"/>
  <c r="AO126" i="3"/>
  <c r="AO127" i="3"/>
  <c r="AO128" i="3"/>
  <c r="AO129" i="3"/>
  <c r="AO130" i="3"/>
  <c r="AO131" i="3"/>
  <c r="AO132" i="3"/>
  <c r="AO133" i="3"/>
  <c r="AO134" i="3"/>
  <c r="AO135" i="3"/>
  <c r="AO136" i="3"/>
  <c r="AO137" i="3"/>
  <c r="AO138" i="3"/>
  <c r="AO139" i="3"/>
  <c r="AO140" i="3"/>
  <c r="AO141" i="3"/>
  <c r="AO142" i="3"/>
  <c r="AO144" i="3"/>
  <c r="AO145" i="3"/>
  <c r="AO148" i="3"/>
  <c r="AO149" i="3"/>
  <c r="AO150" i="3"/>
  <c r="AO151" i="3"/>
  <c r="AO152" i="3"/>
  <c r="AO153" i="3"/>
  <c r="AO155" i="3"/>
  <c r="AO156" i="3"/>
  <c r="AO157" i="3"/>
  <c r="AO158" i="3"/>
  <c r="AO159" i="3"/>
  <c r="AO160" i="3"/>
  <c r="AO161" i="3"/>
  <c r="AO162" i="3"/>
  <c r="AO163" i="3"/>
  <c r="AO164" i="3"/>
  <c r="AO165" i="3"/>
  <c r="AO166" i="3"/>
  <c r="AO167" i="3"/>
  <c r="AO168" i="3"/>
  <c r="AO169" i="3"/>
  <c r="AO170" i="3"/>
  <c r="AO171" i="3"/>
  <c r="AO173" i="3"/>
  <c r="AO174" i="3"/>
  <c r="AO175" i="3"/>
  <c r="AO176" i="3"/>
  <c r="AO177" i="3"/>
  <c r="AO178" i="3"/>
  <c r="AO179" i="3"/>
  <c r="AO180" i="3"/>
  <c r="AO181" i="3"/>
  <c r="AO182" i="3"/>
  <c r="AO183" i="3"/>
  <c r="AO185" i="3"/>
  <c r="AO197" i="3"/>
  <c r="AO198" i="3"/>
  <c r="AO199" i="3"/>
  <c r="AO200" i="3"/>
  <c r="AO201" i="3"/>
  <c r="AO202" i="3"/>
  <c r="AO203" i="3"/>
  <c r="AO204" i="3"/>
  <c r="AO205" i="3"/>
  <c r="AO206" i="3"/>
  <c r="AO208" i="3"/>
  <c r="AO209" i="3"/>
  <c r="AO210" i="3"/>
  <c r="AO211" i="3"/>
  <c r="AO212" i="3"/>
  <c r="AO217" i="3"/>
  <c r="AO218" i="3"/>
  <c r="AO219" i="3"/>
  <c r="AO221" i="3"/>
  <c r="AO223" i="3"/>
  <c r="AP146" i="3"/>
  <c r="AP147" i="3"/>
  <c r="AP154" i="3"/>
  <c r="W251" i="1"/>
  <c r="X15" i="1"/>
  <c r="X257" i="1" l="1"/>
  <c r="X241" i="1"/>
  <c r="X240" i="1"/>
  <c r="X230" i="1"/>
  <c r="W230" i="1"/>
  <c r="X224" i="1"/>
  <c r="V224" i="1"/>
  <c r="V208" i="1"/>
  <c r="X198" i="1"/>
  <c r="X199" i="1"/>
  <c r="X200" i="1"/>
  <c r="X201" i="1"/>
  <c r="X202" i="1"/>
  <c r="X203" i="1"/>
  <c r="X204" i="1"/>
  <c r="X205" i="1"/>
  <c r="X206" i="1"/>
  <c r="X207" i="1"/>
  <c r="X197" i="1"/>
  <c r="W198" i="1"/>
  <c r="W199" i="1"/>
  <c r="W200" i="1"/>
  <c r="W201" i="1"/>
  <c r="W202" i="1"/>
  <c r="W203" i="1"/>
  <c r="W204" i="1"/>
  <c r="W205" i="1"/>
  <c r="W206" i="1"/>
  <c r="W207" i="1"/>
  <c r="W197" i="1"/>
  <c r="V198" i="1"/>
  <c r="V199" i="1"/>
  <c r="V200" i="1"/>
  <c r="V201" i="1"/>
  <c r="V202" i="1"/>
  <c r="V203" i="1"/>
  <c r="V204" i="1"/>
  <c r="V205" i="1"/>
  <c r="V206" i="1"/>
  <c r="V207" i="1"/>
  <c r="V197" i="1"/>
  <c r="X188" i="1"/>
  <c r="X184" i="1"/>
  <c r="W185" i="1"/>
  <c r="W186" i="1"/>
  <c r="W187" i="1"/>
  <c r="W188" i="1"/>
  <c r="W189" i="1"/>
  <c r="W190" i="1"/>
  <c r="W191" i="1"/>
  <c r="W192" i="1"/>
  <c r="W193" i="1"/>
  <c r="W194" i="1"/>
  <c r="W195" i="1"/>
  <c r="W196" i="1"/>
  <c r="W184" i="1"/>
  <c r="V185" i="1"/>
  <c r="V186" i="1"/>
  <c r="V187" i="1"/>
  <c r="V188" i="1"/>
  <c r="V189" i="1"/>
  <c r="V190" i="1"/>
  <c r="V191" i="1"/>
  <c r="V192" i="1"/>
  <c r="V193" i="1"/>
  <c r="V194" i="1"/>
  <c r="V195" i="1"/>
  <c r="V196" i="1"/>
  <c r="V184" i="1"/>
  <c r="X183" i="1"/>
  <c r="X169" i="1"/>
  <c r="X170" i="1"/>
  <c r="X171" i="1"/>
  <c r="X172" i="1"/>
  <c r="X173" i="1"/>
  <c r="X174" i="1"/>
  <c r="X175" i="1"/>
  <c r="X176" i="1"/>
  <c r="X177" i="1"/>
  <c r="X178" i="1"/>
  <c r="X179" i="1"/>
  <c r="X180" i="1"/>
  <c r="X181" i="1"/>
  <c r="X182" i="1"/>
  <c r="X168" i="1"/>
  <c r="W169" i="1"/>
  <c r="W170" i="1"/>
  <c r="W171" i="1"/>
  <c r="W172" i="1"/>
  <c r="W173" i="1"/>
  <c r="W174" i="1"/>
  <c r="W175" i="1"/>
  <c r="W176" i="1"/>
  <c r="W177" i="1"/>
  <c r="W178" i="1"/>
  <c r="W179" i="1"/>
  <c r="W180" i="1"/>
  <c r="W181" i="1"/>
  <c r="W182" i="1"/>
  <c r="W183" i="1"/>
  <c r="W168" i="1"/>
  <c r="V169" i="1"/>
  <c r="V170" i="1"/>
  <c r="V171" i="1"/>
  <c r="V172" i="1"/>
  <c r="V173" i="1"/>
  <c r="V174" i="1"/>
  <c r="V175" i="1"/>
  <c r="V176" i="1"/>
  <c r="V177" i="1"/>
  <c r="V178" i="1"/>
  <c r="V179" i="1"/>
  <c r="V180" i="1"/>
  <c r="V181" i="1"/>
  <c r="V182" i="1"/>
  <c r="V183" i="1"/>
  <c r="V168" i="1"/>
  <c r="V152" i="1"/>
  <c r="X152" i="1"/>
  <c r="X153" i="1"/>
  <c r="X154" i="1"/>
  <c r="X155" i="1"/>
  <c r="X156" i="1"/>
  <c r="X157" i="1"/>
  <c r="X158" i="1"/>
  <c r="X159" i="1"/>
  <c r="X160" i="1"/>
  <c r="X161" i="1"/>
  <c r="X162" i="1"/>
  <c r="X163" i="1"/>
  <c r="X164" i="1"/>
  <c r="X165" i="1"/>
  <c r="X166" i="1"/>
  <c r="X167" i="1"/>
  <c r="X151" i="1"/>
  <c r="W152" i="1"/>
  <c r="W153" i="1"/>
  <c r="W154" i="1"/>
  <c r="W155" i="1"/>
  <c r="W156" i="1"/>
  <c r="W157" i="1"/>
  <c r="W158" i="1"/>
  <c r="W159" i="1"/>
  <c r="W160" i="1"/>
  <c r="W161" i="1"/>
  <c r="W162" i="1"/>
  <c r="W163" i="1"/>
  <c r="W164" i="1"/>
  <c r="W165" i="1"/>
  <c r="W166" i="1"/>
  <c r="W167" i="1"/>
  <c r="W151" i="1"/>
  <c r="V153" i="1"/>
  <c r="V154" i="1"/>
  <c r="V155" i="1"/>
  <c r="V156" i="1"/>
  <c r="V157" i="1"/>
  <c r="V158" i="1"/>
  <c r="V159" i="1"/>
  <c r="V160" i="1"/>
  <c r="V161" i="1"/>
  <c r="V162" i="1"/>
  <c r="V163" i="1"/>
  <c r="V164" i="1"/>
  <c r="V165" i="1"/>
  <c r="V166" i="1"/>
  <c r="V167" i="1"/>
  <c r="V151" i="1"/>
  <c r="X144" i="1"/>
  <c r="X145" i="1"/>
  <c r="X146" i="1"/>
  <c r="X147" i="1"/>
  <c r="X148" i="1"/>
  <c r="X149" i="1"/>
  <c r="X150" i="1"/>
  <c r="X143" i="1"/>
  <c r="W144" i="1"/>
  <c r="W145" i="1"/>
  <c r="W146" i="1"/>
  <c r="W147" i="1"/>
  <c r="W148" i="1"/>
  <c r="W149" i="1"/>
  <c r="W150" i="1"/>
  <c r="W143" i="1"/>
  <c r="V144" i="1"/>
  <c r="V145" i="1"/>
  <c r="V146" i="1"/>
  <c r="V147" i="1"/>
  <c r="V148" i="1"/>
  <c r="V149" i="1"/>
  <c r="V150" i="1"/>
  <c r="V143" i="1"/>
  <c r="V141" i="1"/>
  <c r="X127" i="1"/>
  <c r="X128" i="1"/>
  <c r="X129" i="1"/>
  <c r="X130" i="1"/>
  <c r="X131" i="1"/>
  <c r="X132" i="1"/>
  <c r="X133" i="1"/>
  <c r="X134" i="1"/>
  <c r="X135" i="1"/>
  <c r="X136" i="1"/>
  <c r="X137" i="1"/>
  <c r="X138" i="1"/>
  <c r="X139" i="1"/>
  <c r="X140" i="1"/>
  <c r="X141" i="1"/>
  <c r="X142" i="1"/>
  <c r="X126" i="1"/>
  <c r="V126" i="1"/>
  <c r="X125" i="1"/>
  <c r="X119" i="1"/>
  <c r="X120" i="1"/>
  <c r="X121" i="1"/>
  <c r="X122" i="1"/>
  <c r="X123" i="1"/>
  <c r="X124" i="1"/>
  <c r="X118" i="1"/>
  <c r="W119" i="1"/>
  <c r="W120" i="1"/>
  <c r="W121" i="1"/>
  <c r="W122" i="1"/>
  <c r="W123" i="1"/>
  <c r="W124" i="1"/>
  <c r="W125" i="1"/>
  <c r="W118" i="1"/>
  <c r="V119" i="1"/>
  <c r="V120" i="1"/>
  <c r="V121" i="1"/>
  <c r="V122" i="1"/>
  <c r="V123" i="1"/>
  <c r="V124" i="1"/>
  <c r="V125" i="1"/>
  <c r="V118" i="1"/>
  <c r="X107" i="1"/>
  <c r="V67" i="1"/>
  <c r="W86" i="1"/>
  <c r="W81" i="1"/>
  <c r="W82" i="1"/>
  <c r="W83" i="1"/>
  <c r="W84" i="1"/>
  <c r="W85" i="1"/>
  <c r="W87" i="1"/>
  <c r="W88" i="1"/>
  <c r="W89" i="1"/>
  <c r="W90" i="1"/>
  <c r="W91" i="1"/>
  <c r="W92" i="1"/>
  <c r="W93" i="1"/>
  <c r="W94" i="1"/>
  <c r="W95" i="1"/>
  <c r="W96" i="1"/>
  <c r="W97" i="1"/>
  <c r="W98" i="1"/>
  <c r="W80" i="1"/>
  <c r="V92" i="1"/>
  <c r="V81" i="1"/>
  <c r="V82" i="1"/>
  <c r="V83" i="1"/>
  <c r="V84" i="1"/>
  <c r="V85" i="1"/>
  <c r="V86" i="1"/>
  <c r="V87" i="1"/>
  <c r="V88" i="1"/>
  <c r="V89" i="1"/>
  <c r="V90" i="1"/>
  <c r="V91" i="1"/>
  <c r="V93" i="1"/>
  <c r="V94" i="1"/>
  <c r="V95" i="1"/>
  <c r="V96" i="1"/>
  <c r="V97" i="1"/>
  <c r="V98" i="1"/>
  <c r="V80" i="1"/>
  <c r="X81" i="1"/>
  <c r="X82" i="1"/>
  <c r="X83" i="1"/>
  <c r="X84" i="1"/>
  <c r="X85" i="1"/>
  <c r="X86" i="1"/>
  <c r="X87" i="1"/>
  <c r="X88" i="1"/>
  <c r="X89" i="1"/>
  <c r="X90" i="1"/>
  <c r="X91" i="1"/>
  <c r="X92" i="1"/>
  <c r="X93" i="1"/>
  <c r="X94" i="1"/>
  <c r="X95" i="1"/>
  <c r="X96" i="1"/>
  <c r="X97" i="1"/>
  <c r="X98" i="1"/>
  <c r="X80" i="1"/>
  <c r="X70" i="1"/>
  <c r="W39" i="1"/>
  <c r="X39" i="1"/>
  <c r="X2" i="1"/>
  <c r="V23" i="1"/>
  <c r="W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" i="1"/>
  <c r="V3" i="1"/>
  <c r="V4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" i="1"/>
  <c r="AM25" i="6" l="1"/>
  <c r="AL25" i="6"/>
  <c r="AK25" i="6"/>
  <c r="AJ25" i="6"/>
  <c r="AI25" i="6"/>
  <c r="AH25" i="6"/>
  <c r="AG25" i="6"/>
  <c r="AF25" i="6"/>
  <c r="AE25" i="6"/>
  <c r="AD25" i="6"/>
  <c r="AC25" i="6"/>
  <c r="AB25" i="6"/>
  <c r="AA25" i="6"/>
  <c r="Z25" i="6"/>
  <c r="Y25" i="6"/>
  <c r="X25" i="6"/>
  <c r="W25" i="6"/>
  <c r="V25" i="6"/>
  <c r="U25" i="6"/>
  <c r="T25" i="6"/>
  <c r="S25" i="6"/>
  <c r="R25" i="6"/>
  <c r="Q25" i="6"/>
  <c r="P25" i="6"/>
  <c r="O25" i="6"/>
  <c r="N25" i="6"/>
  <c r="M25" i="6"/>
  <c r="L25" i="6"/>
  <c r="K25" i="6"/>
  <c r="J25" i="6"/>
  <c r="I25" i="6"/>
  <c r="H25" i="6"/>
  <c r="G25" i="6"/>
  <c r="F25" i="6"/>
  <c r="E25" i="6"/>
  <c r="D25" i="6"/>
  <c r="C25" i="6"/>
  <c r="AN24" i="6"/>
  <c r="AN23" i="6"/>
  <c r="AN22" i="6"/>
  <c r="AN21" i="6"/>
  <c r="AN20" i="6"/>
  <c r="AN19" i="6"/>
  <c r="AN18" i="6"/>
  <c r="AN17" i="6"/>
  <c r="AN16" i="6"/>
  <c r="AN15" i="6"/>
  <c r="AN14" i="6"/>
  <c r="AN13" i="6"/>
  <c r="AN12" i="6"/>
  <c r="AN11" i="6"/>
  <c r="AN10" i="6"/>
  <c r="AN9" i="6"/>
  <c r="AN8" i="6"/>
  <c r="AN7" i="6"/>
  <c r="AN6" i="6"/>
  <c r="AN5" i="6"/>
  <c r="AN4" i="6"/>
  <c r="AI25" i="5"/>
  <c r="AH25" i="5"/>
  <c r="AG25" i="5"/>
  <c r="AF25" i="5"/>
  <c r="AE25" i="5"/>
  <c r="AD25" i="5"/>
  <c r="AC25" i="5"/>
  <c r="AB25" i="5"/>
  <c r="AA25" i="5"/>
  <c r="Z25" i="5"/>
  <c r="Y25" i="5"/>
  <c r="X25" i="5"/>
  <c r="W25" i="5"/>
  <c r="V25" i="5"/>
  <c r="U25" i="5"/>
  <c r="T25" i="5"/>
  <c r="S25" i="5"/>
  <c r="R25" i="5"/>
  <c r="Q25" i="5"/>
  <c r="P25" i="5"/>
  <c r="O25" i="5"/>
  <c r="N25" i="5"/>
  <c r="M25" i="5"/>
  <c r="L25" i="5"/>
  <c r="K25" i="5"/>
  <c r="J25" i="5"/>
  <c r="I25" i="5"/>
  <c r="H25" i="5"/>
  <c r="G25" i="5"/>
  <c r="F25" i="5"/>
  <c r="E25" i="5"/>
  <c r="D25" i="5"/>
  <c r="C25" i="5"/>
  <c r="AN25" i="6" l="1"/>
  <c r="W127" i="1"/>
  <c r="W128" i="1"/>
  <c r="W129" i="1"/>
  <c r="W130" i="1"/>
  <c r="W131" i="1"/>
  <c r="W132" i="1"/>
  <c r="W133" i="1"/>
  <c r="W134" i="1"/>
  <c r="W135" i="1"/>
  <c r="W136" i="1"/>
  <c r="W137" i="1"/>
  <c r="W138" i="1"/>
  <c r="W139" i="1"/>
  <c r="W140" i="1"/>
  <c r="W141" i="1"/>
  <c r="W142" i="1"/>
  <c r="W126" i="1"/>
  <c r="V127" i="1"/>
  <c r="V128" i="1"/>
  <c r="V129" i="1"/>
  <c r="V130" i="1"/>
  <c r="V131" i="1"/>
  <c r="V132" i="1"/>
  <c r="V133" i="1"/>
  <c r="V134" i="1"/>
  <c r="V135" i="1"/>
  <c r="V136" i="1"/>
  <c r="V137" i="1"/>
  <c r="V138" i="1"/>
  <c r="V139" i="1"/>
  <c r="V140" i="1"/>
  <c r="V142" i="1"/>
  <c r="X260" i="1" l="1"/>
  <c r="X261" i="1"/>
  <c r="X262" i="1"/>
  <c r="X263" i="1"/>
  <c r="X264" i="1"/>
  <c r="X265" i="1"/>
  <c r="X266" i="1"/>
  <c r="X267" i="1"/>
  <c r="X259" i="1"/>
  <c r="W260" i="1"/>
  <c r="W261" i="1"/>
  <c r="W262" i="1"/>
  <c r="W263" i="1"/>
  <c r="W264" i="1"/>
  <c r="W265" i="1"/>
  <c r="W266" i="1"/>
  <c r="W267" i="1"/>
  <c r="W259" i="1"/>
  <c r="V260" i="1"/>
  <c r="V261" i="1"/>
  <c r="V262" i="1"/>
  <c r="V263" i="1"/>
  <c r="V264" i="1"/>
  <c r="V265" i="1"/>
  <c r="V266" i="1"/>
  <c r="V267" i="1"/>
  <c r="V259" i="1"/>
  <c r="X252" i="1"/>
  <c r="X253" i="1"/>
  <c r="X254" i="1"/>
  <c r="X255" i="1"/>
  <c r="X256" i="1"/>
  <c r="X258" i="1"/>
  <c r="X251" i="1"/>
  <c r="W252" i="1"/>
  <c r="W253" i="1"/>
  <c r="W254" i="1"/>
  <c r="W255" i="1"/>
  <c r="W256" i="1"/>
  <c r="W257" i="1"/>
  <c r="W258" i="1"/>
  <c r="V252" i="1"/>
  <c r="V253" i="1"/>
  <c r="V254" i="1"/>
  <c r="V255" i="1"/>
  <c r="V256" i="1"/>
  <c r="V257" i="1"/>
  <c r="V258" i="1"/>
  <c r="V251" i="1"/>
  <c r="X242" i="1"/>
  <c r="X243" i="1"/>
  <c r="X244" i="1"/>
  <c r="X245" i="1"/>
  <c r="X246" i="1"/>
  <c r="X247" i="1"/>
  <c r="X248" i="1"/>
  <c r="X249" i="1"/>
  <c r="X250" i="1"/>
  <c r="W241" i="1"/>
  <c r="W242" i="1"/>
  <c r="W243" i="1"/>
  <c r="W244" i="1"/>
  <c r="W245" i="1"/>
  <c r="W246" i="1"/>
  <c r="W247" i="1"/>
  <c r="W248" i="1"/>
  <c r="W249" i="1"/>
  <c r="W250" i="1"/>
  <c r="W240" i="1"/>
  <c r="V241" i="1"/>
  <c r="V242" i="1"/>
  <c r="V243" i="1"/>
  <c r="V244" i="1"/>
  <c r="V245" i="1"/>
  <c r="V246" i="1"/>
  <c r="V247" i="1"/>
  <c r="V248" i="1"/>
  <c r="V249" i="1"/>
  <c r="V250" i="1"/>
  <c r="V240" i="1"/>
  <c r="X231" i="1"/>
  <c r="X232" i="1"/>
  <c r="X233" i="1"/>
  <c r="X234" i="1"/>
  <c r="X235" i="1"/>
  <c r="X236" i="1"/>
  <c r="X237" i="1"/>
  <c r="X238" i="1"/>
  <c r="X239" i="1"/>
  <c r="W231" i="1"/>
  <c r="W232" i="1"/>
  <c r="W233" i="1"/>
  <c r="W234" i="1"/>
  <c r="W235" i="1"/>
  <c r="W236" i="1"/>
  <c r="W237" i="1"/>
  <c r="W238" i="1"/>
  <c r="W239" i="1"/>
  <c r="V231" i="1"/>
  <c r="V232" i="1"/>
  <c r="V233" i="1"/>
  <c r="V234" i="1"/>
  <c r="V235" i="1"/>
  <c r="V236" i="1"/>
  <c r="V237" i="1"/>
  <c r="V238" i="1"/>
  <c r="V239" i="1"/>
  <c r="V230" i="1"/>
  <c r="X225" i="1"/>
  <c r="X226" i="1"/>
  <c r="X227" i="1"/>
  <c r="X228" i="1"/>
  <c r="X229" i="1"/>
  <c r="W225" i="1"/>
  <c r="W226" i="1"/>
  <c r="W227" i="1"/>
  <c r="W228" i="1"/>
  <c r="W229" i="1"/>
  <c r="W224" i="1"/>
  <c r="V227" i="1"/>
  <c r="V228" i="1"/>
  <c r="V225" i="1"/>
  <c r="V226" i="1"/>
  <c r="V229" i="1"/>
  <c r="X209" i="1"/>
  <c r="X210" i="1"/>
  <c r="X211" i="1"/>
  <c r="X212" i="1"/>
  <c r="X213" i="1"/>
  <c r="X214" i="1"/>
  <c r="X215" i="1"/>
  <c r="X216" i="1"/>
  <c r="X217" i="1"/>
  <c r="X218" i="1"/>
  <c r="X219" i="1"/>
  <c r="X220" i="1"/>
  <c r="X221" i="1"/>
  <c r="X222" i="1"/>
  <c r="X223" i="1"/>
  <c r="X208" i="1"/>
  <c r="W209" i="1"/>
  <c r="W210" i="1"/>
  <c r="W211" i="1"/>
  <c r="W212" i="1"/>
  <c r="W213" i="1"/>
  <c r="W214" i="1"/>
  <c r="W215" i="1"/>
  <c r="W216" i="1"/>
  <c r="W217" i="1"/>
  <c r="W218" i="1"/>
  <c r="W219" i="1"/>
  <c r="W220" i="1"/>
  <c r="W221" i="1"/>
  <c r="W222" i="1"/>
  <c r="W223" i="1"/>
  <c r="W208" i="1"/>
  <c r="V209" i="1"/>
  <c r="V210" i="1"/>
  <c r="V211" i="1"/>
  <c r="V212" i="1"/>
  <c r="V213" i="1"/>
  <c r="V214" i="1"/>
  <c r="V215" i="1"/>
  <c r="V216" i="1"/>
  <c r="V217" i="1"/>
  <c r="V218" i="1"/>
  <c r="V219" i="1"/>
  <c r="V220" i="1"/>
  <c r="V221" i="1"/>
  <c r="V222" i="1"/>
  <c r="V223" i="1"/>
  <c r="X40" i="1"/>
  <c r="X41" i="1"/>
  <c r="X42" i="1"/>
  <c r="X43" i="1"/>
  <c r="X44" i="1"/>
  <c r="X45" i="1"/>
  <c r="X46" i="1"/>
  <c r="X47" i="1"/>
  <c r="X48" i="1"/>
  <c r="X49" i="1"/>
  <c r="X50" i="1"/>
  <c r="X51" i="1"/>
  <c r="X52" i="1"/>
  <c r="X53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V40" i="1"/>
  <c r="V41" i="1"/>
  <c r="V42" i="1"/>
  <c r="V43" i="1"/>
  <c r="V44" i="1"/>
  <c r="V45" i="1"/>
  <c r="V46" i="1"/>
  <c r="V47" i="1"/>
  <c r="V48" i="1"/>
  <c r="V49" i="1"/>
  <c r="V50" i="1"/>
  <c r="V51" i="1"/>
  <c r="V52" i="1"/>
  <c r="V53" i="1"/>
  <c r="V39" i="1"/>
  <c r="X24" i="1"/>
  <c r="X25" i="1"/>
  <c r="X26" i="1"/>
  <c r="X27" i="1"/>
  <c r="X28" i="1"/>
  <c r="X29" i="1"/>
  <c r="X30" i="1"/>
  <c r="X31" i="1"/>
  <c r="X32" i="1"/>
  <c r="X33" i="1"/>
  <c r="X34" i="1"/>
  <c r="X35" i="1"/>
  <c r="X36" i="1"/>
  <c r="X37" i="1"/>
  <c r="X38" i="1"/>
  <c r="X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X3" i="1"/>
  <c r="X4" i="1"/>
  <c r="X5" i="1"/>
  <c r="X6" i="1"/>
  <c r="X7" i="1"/>
  <c r="X8" i="1"/>
  <c r="X9" i="1"/>
  <c r="X10" i="1"/>
  <c r="X11" i="1"/>
  <c r="X12" i="1"/>
  <c r="X13" i="1"/>
  <c r="X14" i="1"/>
  <c r="X16" i="1"/>
  <c r="X17" i="1"/>
  <c r="X18" i="1"/>
  <c r="X19" i="1"/>
  <c r="X20" i="1"/>
  <c r="X21" i="1"/>
  <c r="X22" i="1"/>
  <c r="AQ214" i="3" l="1"/>
  <c r="X196" i="1" l="1"/>
  <c r="X195" i="1"/>
  <c r="X194" i="1"/>
  <c r="X193" i="1"/>
  <c r="X192" i="1"/>
  <c r="X191" i="1"/>
  <c r="X190" i="1"/>
  <c r="X189" i="1"/>
  <c r="X187" i="1"/>
  <c r="X186" i="1"/>
  <c r="X185" i="1"/>
  <c r="X108" i="1" l="1"/>
  <c r="X109" i="1"/>
  <c r="X110" i="1"/>
  <c r="X111" i="1"/>
  <c r="X112" i="1"/>
  <c r="X113" i="1"/>
  <c r="X114" i="1"/>
  <c r="X115" i="1"/>
  <c r="X116" i="1"/>
  <c r="X117" i="1"/>
  <c r="W108" i="1"/>
  <c r="W109" i="1"/>
  <c r="W110" i="1"/>
  <c r="W111" i="1"/>
  <c r="W112" i="1"/>
  <c r="W113" i="1"/>
  <c r="W114" i="1"/>
  <c r="W115" i="1"/>
  <c r="W116" i="1"/>
  <c r="W117" i="1"/>
  <c r="W107" i="1"/>
  <c r="V108" i="1"/>
  <c r="V109" i="1"/>
  <c r="V110" i="1"/>
  <c r="V111" i="1"/>
  <c r="V112" i="1"/>
  <c r="V113" i="1"/>
  <c r="V114" i="1"/>
  <c r="V115" i="1"/>
  <c r="V116" i="1"/>
  <c r="V117" i="1"/>
  <c r="V107" i="1"/>
  <c r="X100" i="1"/>
  <c r="X101" i="1"/>
  <c r="X102" i="1"/>
  <c r="X103" i="1"/>
  <c r="X104" i="1"/>
  <c r="X105" i="1"/>
  <c r="X106" i="1"/>
  <c r="X99" i="1"/>
  <c r="W100" i="1"/>
  <c r="W101" i="1"/>
  <c r="W102" i="1"/>
  <c r="W103" i="1"/>
  <c r="W104" i="1"/>
  <c r="W105" i="1"/>
  <c r="W106" i="1"/>
  <c r="W99" i="1"/>
  <c r="V100" i="1"/>
  <c r="V101" i="1"/>
  <c r="V102" i="1"/>
  <c r="V103" i="1"/>
  <c r="V104" i="1"/>
  <c r="V105" i="1"/>
  <c r="V106" i="1"/>
  <c r="V99" i="1"/>
  <c r="X71" i="1"/>
  <c r="X72" i="1"/>
  <c r="X73" i="1"/>
  <c r="X74" i="1"/>
  <c r="X75" i="1"/>
  <c r="X76" i="1"/>
  <c r="X77" i="1"/>
  <c r="X78" i="1"/>
  <c r="X79" i="1"/>
  <c r="W71" i="1"/>
  <c r="W72" i="1"/>
  <c r="W73" i="1"/>
  <c r="W74" i="1"/>
  <c r="W75" i="1"/>
  <c r="W76" i="1"/>
  <c r="W77" i="1"/>
  <c r="W78" i="1"/>
  <c r="W79" i="1"/>
  <c r="W70" i="1"/>
  <c r="V71" i="1"/>
  <c r="V72" i="1"/>
  <c r="V73" i="1"/>
  <c r="V74" i="1"/>
  <c r="V75" i="1"/>
  <c r="V76" i="1"/>
  <c r="V77" i="1"/>
  <c r="V78" i="1"/>
  <c r="V79" i="1"/>
  <c r="V70" i="1"/>
  <c r="X55" i="1"/>
  <c r="X56" i="1"/>
  <c r="X57" i="1"/>
  <c r="X58" i="1"/>
  <c r="X59" i="1"/>
  <c r="X60" i="1"/>
  <c r="X61" i="1"/>
  <c r="X62" i="1"/>
  <c r="X63" i="1"/>
  <c r="X64" i="1"/>
  <c r="X65" i="1"/>
  <c r="X66" i="1"/>
  <c r="X67" i="1"/>
  <c r="X68" i="1"/>
  <c r="X69" i="1"/>
  <c r="X54" i="1"/>
  <c r="W55" i="1"/>
  <c r="W56" i="1"/>
  <c r="W57" i="1"/>
  <c r="W58" i="1"/>
  <c r="W59" i="1"/>
  <c r="W60" i="1"/>
  <c r="W61" i="1"/>
  <c r="W62" i="1"/>
  <c r="W63" i="1"/>
  <c r="W64" i="1"/>
  <c r="W65" i="1"/>
  <c r="W66" i="1"/>
  <c r="W67" i="1"/>
  <c r="W68" i="1"/>
  <c r="W69" i="1"/>
  <c r="W54" i="1"/>
  <c r="V55" i="1"/>
  <c r="V56" i="1"/>
  <c r="V57" i="1"/>
  <c r="V58" i="1"/>
  <c r="V59" i="1"/>
  <c r="V60" i="1"/>
  <c r="V61" i="1"/>
  <c r="V62" i="1"/>
  <c r="V63" i="1"/>
  <c r="V64" i="1"/>
  <c r="V65" i="1"/>
  <c r="V66" i="1"/>
  <c r="V68" i="1"/>
  <c r="V69" i="1"/>
  <c r="V54" i="1"/>
</calcChain>
</file>

<file path=xl/sharedStrings.xml><?xml version="1.0" encoding="utf-8"?>
<sst xmlns="http://schemas.openxmlformats.org/spreadsheetml/2006/main" count="1324" uniqueCount="731">
  <si>
    <r>
      <rPr>
        <b/>
        <sz val="16"/>
        <rFont val="Calibri"/>
        <family val="2"/>
        <charset val="1"/>
      </rPr>
      <t>S/N</t>
    </r>
  </si>
  <si>
    <t>AB</t>
  </si>
  <si>
    <t>ADW</t>
  </si>
  <si>
    <t>AKW</t>
  </si>
  <si>
    <t>BAU</t>
  </si>
  <si>
    <t>BYLS</t>
  </si>
  <si>
    <t>BNE</t>
  </si>
  <si>
    <t>BRN</t>
  </si>
  <si>
    <t>CRR</t>
  </si>
  <si>
    <t>DLT</t>
  </si>
  <si>
    <t>EBNY</t>
  </si>
  <si>
    <t>EDO</t>
  </si>
  <si>
    <t>EKT</t>
  </si>
  <si>
    <t>ENG</t>
  </si>
  <si>
    <t>GOMB</t>
  </si>
  <si>
    <t>IMO</t>
  </si>
  <si>
    <t>JIG</t>
  </si>
  <si>
    <t>KAD</t>
  </si>
  <si>
    <t>KNO</t>
  </si>
  <si>
    <t>KATS</t>
  </si>
  <si>
    <t>KEBB</t>
  </si>
  <si>
    <t>KOGI</t>
  </si>
  <si>
    <t>KWR</t>
  </si>
  <si>
    <t>LAG</t>
  </si>
  <si>
    <t>NAS</t>
  </si>
  <si>
    <t>NIG</t>
  </si>
  <si>
    <t>OGUN</t>
  </si>
  <si>
    <t>OND</t>
  </si>
  <si>
    <t>OSUN</t>
  </si>
  <si>
    <t>OYO</t>
  </si>
  <si>
    <t>PLAT</t>
  </si>
  <si>
    <t>RIVS</t>
  </si>
  <si>
    <t>SOK</t>
  </si>
  <si>
    <t>TARB</t>
  </si>
  <si>
    <t>YOB</t>
  </si>
  <si>
    <t>ZAMF</t>
  </si>
  <si>
    <t>FCT</t>
  </si>
  <si>
    <t>FORGN</t>
  </si>
  <si>
    <t>23</t>
  </si>
  <si>
    <t>18</t>
  </si>
  <si>
    <t>12</t>
  </si>
  <si>
    <t>15</t>
  </si>
  <si>
    <t>14</t>
  </si>
  <si>
    <t>11</t>
  </si>
  <si>
    <t>9</t>
  </si>
  <si>
    <t>0</t>
  </si>
  <si>
    <t>36</t>
  </si>
  <si>
    <r>
      <rPr>
        <b/>
        <sz val="16"/>
        <color rgb="FF00B050"/>
        <rFont val="Calibri"/>
        <family val="2"/>
      </rPr>
      <t>URBAN GIRLS'.SEC.SCH. EKWULOBIA</t>
    </r>
  </si>
  <si>
    <t>BENIN</t>
  </si>
  <si>
    <r>
      <rPr>
        <b/>
        <sz val="16"/>
        <color rgb="FF00B050"/>
        <rFont val="Calibri"/>
        <family val="2"/>
      </rPr>
      <t>GIRLS' .SEC. SCH. IGBOUKWU</t>
    </r>
  </si>
  <si>
    <t>GHANA</t>
  </si>
  <si>
    <r>
      <rPr>
        <b/>
        <sz val="16"/>
        <rFont val="Calibri"/>
        <family val="2"/>
      </rPr>
      <t>COMM.SEC. SCH. ISUOFIA</t>
    </r>
  </si>
  <si>
    <r>
      <rPr>
        <b/>
        <sz val="16"/>
        <rFont val="Calibri"/>
        <family val="2"/>
      </rPr>
      <t>AGUATA HIGH SCH.AGUATA</t>
    </r>
    <r>
      <rPr>
        <b/>
        <sz val="16"/>
        <rFont val="Calibri"/>
        <family val="2"/>
      </rPr>
      <t xml:space="preserve"> </t>
    </r>
  </si>
  <si>
    <r>
      <rPr>
        <b/>
        <sz val="16"/>
        <rFont val="Calibri"/>
        <family val="2"/>
      </rPr>
      <t>GIRLS' HIGH SCHOOL UGA</t>
    </r>
  </si>
  <si>
    <r>
      <rPr>
        <b/>
        <sz val="16"/>
        <rFont val="Calibri"/>
        <family val="2"/>
      </rPr>
      <t>UGA BOYS' SEC. SCH UGA</t>
    </r>
  </si>
  <si>
    <r>
      <rPr>
        <b/>
        <sz val="16"/>
        <rFont val="Calibri"/>
        <family val="2"/>
      </rPr>
      <t>COMM. SEC. SCH. UGA</t>
    </r>
  </si>
  <si>
    <r>
      <rPr>
        <b/>
        <sz val="16"/>
        <rFont val="Calibri"/>
        <family val="2"/>
      </rPr>
      <t>PIONEER SEC. SCH. (GSS) UMUCHU</t>
    </r>
  </si>
  <si>
    <r>
      <rPr>
        <b/>
        <sz val="16"/>
        <rFont val="Calibri"/>
        <family val="2"/>
      </rPr>
      <t>COMM SEC.SCH. UMUCHU</t>
    </r>
  </si>
  <si>
    <r>
      <rPr>
        <b/>
        <sz val="16"/>
        <rFont val="Calibri"/>
        <family val="2"/>
      </rPr>
      <t>UMUCHU HIGH. SCH. UMUCHU</t>
    </r>
  </si>
  <si>
    <r>
      <rPr>
        <b/>
        <sz val="16"/>
        <rFont val="Calibri"/>
        <family val="2"/>
      </rPr>
      <t>GOVT. TECH. COLL. UMUCHU</t>
    </r>
  </si>
  <si>
    <r>
      <rPr>
        <b/>
        <sz val="16"/>
        <rFont val="Calibri"/>
        <family val="2"/>
      </rPr>
      <t>ST. PETER'S SEC. SCH. ACHINA</t>
    </r>
  </si>
  <si>
    <r>
      <rPr>
        <b/>
        <sz val="16"/>
        <rFont val="Calibri"/>
        <family val="2"/>
      </rPr>
      <t>COMM. SEC. SCH. ACHINA</t>
    </r>
  </si>
  <si>
    <r>
      <rPr>
        <b/>
        <sz val="16"/>
        <rFont val="Calibri"/>
        <family val="2"/>
      </rPr>
      <t>COMM. SEC. SCH. NKPOLOGWU</t>
    </r>
  </si>
  <si>
    <r>
      <rPr>
        <b/>
        <sz val="16"/>
        <rFont val="Calibri"/>
        <family val="2"/>
      </rPr>
      <t>COMM SEC. SCH. ORAERI</t>
    </r>
  </si>
  <si>
    <r>
      <rPr>
        <b/>
        <sz val="16"/>
        <rFont val="Calibri"/>
        <family val="2"/>
      </rPr>
      <t>COMM SEC. SCH. AGULUEZECHUKWU</t>
    </r>
  </si>
  <si>
    <r>
      <rPr>
        <b/>
        <sz val="16"/>
        <rFont val="Calibri"/>
        <family val="2"/>
      </rPr>
      <t>COMM SEC. SCH. AKPO</t>
    </r>
  </si>
  <si>
    <r>
      <rPr>
        <b/>
        <sz val="16"/>
        <rFont val="Calibri"/>
        <family val="2"/>
      </rPr>
      <t>CHRIST THE REDEEMER COLLEGE</t>
    </r>
    <r>
      <rPr>
        <b/>
        <sz val="16"/>
        <rFont val="Calibri"/>
        <family val="2"/>
      </rPr>
      <t xml:space="preserve">  </t>
    </r>
    <r>
      <rPr>
        <b/>
        <sz val="16"/>
        <rFont val="Calibri"/>
        <family val="2"/>
      </rPr>
      <t>AMESI</t>
    </r>
  </si>
  <si>
    <r>
      <rPr>
        <b/>
        <sz val="16"/>
        <rFont val="Calibri"/>
        <family val="2"/>
      </rPr>
      <t>COMM SEC. SCH. (BSS) IGBOUKWU</t>
    </r>
  </si>
  <si>
    <r>
      <rPr>
        <b/>
        <sz val="16"/>
        <rFont val="Calibri"/>
        <family val="2"/>
      </rPr>
      <t>COMM SEC. SCH. (BSS) EZINIFITE</t>
    </r>
  </si>
  <si>
    <r>
      <rPr>
        <b/>
        <sz val="16"/>
        <rFont val="Calibri"/>
        <family val="2"/>
      </rPr>
      <t>EZINIFITE HIGH SCHOOL EZINIFITE</t>
    </r>
  </si>
  <si>
    <r>
      <rPr>
        <b/>
        <sz val="16"/>
        <rFont val="Calibri"/>
        <family val="2"/>
      </rPr>
      <t>COMM. HIGH SCHOOL, NANKA</t>
    </r>
  </si>
  <si>
    <r>
      <rPr>
        <b/>
        <sz val="16"/>
        <rFont val="Calibri"/>
        <family val="2"/>
      </rPr>
      <t>COMM. SEC. SCH. NANKA</t>
    </r>
  </si>
  <si>
    <r>
      <rPr>
        <b/>
        <sz val="16"/>
        <rFont val="Calibri"/>
        <family val="2"/>
      </rPr>
      <t>COMM. SEC. SCH. OKO</t>
    </r>
  </si>
  <si>
    <t>TOGO</t>
  </si>
  <si>
    <r>
      <rPr>
        <b/>
        <sz val="16"/>
        <rFont val="Calibri"/>
        <family val="2"/>
      </rPr>
      <t>COMM. SEC. SCH. NDIKELIONWU</t>
    </r>
  </si>
  <si>
    <r>
      <rPr>
        <b/>
        <sz val="16"/>
        <rFont val="Calibri"/>
        <family val="2"/>
      </rPr>
      <t>COMM SEC. SCH. NDIOWU</t>
    </r>
    <r>
      <rPr>
        <b/>
        <sz val="16"/>
        <rFont val="Calibri"/>
        <family val="2"/>
      </rPr>
      <t xml:space="preserve">  </t>
    </r>
  </si>
  <si>
    <r>
      <rPr>
        <b/>
        <sz val="16"/>
        <rFont val="Calibri"/>
        <family val="2"/>
      </rPr>
      <t>COMM. SEC. SCH. UFUMA</t>
    </r>
  </si>
  <si>
    <r>
      <rPr>
        <b/>
        <sz val="16"/>
        <rFont val="Calibri"/>
        <family val="2"/>
      </rPr>
      <t>COMM. SEC. SCH. ENUGWUABOR UFUMA</t>
    </r>
  </si>
  <si>
    <r>
      <rPr>
        <b/>
        <sz val="16"/>
        <rFont val="Calibri"/>
        <family val="2"/>
      </rPr>
      <t>COMM.SEC. SCH. AWGBU</t>
    </r>
  </si>
  <si>
    <r>
      <rPr>
        <b/>
        <sz val="16"/>
        <rFont val="Calibri"/>
        <family val="2"/>
      </rPr>
      <t>COMM. HIGH.SCH. AWGBU</t>
    </r>
  </si>
  <si>
    <r>
      <rPr>
        <b/>
        <sz val="16"/>
        <rFont val="Calibri"/>
        <family val="2"/>
      </rPr>
      <t>AWGBU GRAMMAR SCH. AWGBU</t>
    </r>
  </si>
  <si>
    <r>
      <rPr>
        <b/>
        <sz val="16"/>
        <rFont val="Calibri"/>
        <family val="2"/>
      </rPr>
      <t>COMM SEC.SCH. AJALI</t>
    </r>
  </si>
  <si>
    <r>
      <rPr>
        <b/>
        <sz val="16"/>
        <rFont val="Calibri"/>
        <family val="2"/>
      </rPr>
      <t>COMM. SEC.SCH. OMOGHO</t>
    </r>
  </si>
  <si>
    <r>
      <rPr>
        <b/>
        <sz val="16"/>
        <rFont val="Calibri"/>
        <family val="2"/>
      </rPr>
      <t>COMM. SEC. SCH AWA</t>
    </r>
  </si>
  <si>
    <r>
      <rPr>
        <b/>
        <sz val="16"/>
        <rFont val="Calibri"/>
        <family val="2"/>
      </rPr>
      <t>COMM SEC SCH NDIUKWUENU</t>
    </r>
  </si>
  <si>
    <r>
      <rPr>
        <b/>
        <sz val="16"/>
        <rFont val="Calibri"/>
        <family val="2"/>
      </rPr>
      <t>COMM.SEC.SCH. OKPEZE</t>
    </r>
  </si>
  <si>
    <r>
      <rPr>
        <b/>
        <sz val="16"/>
        <rFont val="Calibri"/>
        <family val="2"/>
      </rPr>
      <t>COMM.SEC.SCH.NDIOKPALEKE</t>
    </r>
  </si>
  <si>
    <r>
      <rPr>
        <b/>
        <sz val="16"/>
        <rFont val="Calibri"/>
        <family val="2"/>
      </rPr>
      <t>ALL SAINTS SEC.SCH. UMUNZE</t>
    </r>
  </si>
  <si>
    <r>
      <rPr>
        <b/>
        <sz val="16"/>
        <rFont val="Calibri"/>
        <family val="2"/>
      </rPr>
      <t>COMM. HIGH. SCH. UMUNZE</t>
    </r>
  </si>
  <si>
    <r>
      <rPr>
        <b/>
        <sz val="16"/>
        <rFont val="Calibri"/>
        <family val="2"/>
      </rPr>
      <t>GOVT TECHNICAL COLLEGE UMUNZE</t>
    </r>
  </si>
  <si>
    <r>
      <rPr>
        <b/>
        <sz val="16"/>
        <rFont val="Calibri"/>
        <family val="2"/>
      </rPr>
      <t>COMM. SEC. SCH. IHITE</t>
    </r>
  </si>
  <si>
    <r>
      <rPr>
        <b/>
        <sz val="16"/>
        <rFont val="Calibri"/>
        <family val="2"/>
      </rPr>
      <t>COMM. HIGH. SCH. NAWFIJA</t>
    </r>
  </si>
  <si>
    <r>
      <rPr>
        <b/>
        <sz val="16"/>
        <rFont val="Calibri"/>
        <family val="2"/>
      </rPr>
      <t>NEW BETHEL SEC. SCH. ISULO</t>
    </r>
  </si>
  <si>
    <r>
      <rPr>
        <b/>
        <sz val="16"/>
        <rFont val="Calibri"/>
        <family val="2"/>
      </rPr>
      <t>VICTORY HIGH. SCH. EZIRA</t>
    </r>
  </si>
  <si>
    <r>
      <rPr>
        <b/>
        <sz val="16"/>
        <rFont val="Calibri"/>
        <family val="2"/>
      </rPr>
      <t>PREMIER SEC. SCH. OGBUNKA (BSS)</t>
    </r>
  </si>
  <si>
    <r>
      <rPr>
        <b/>
        <sz val="16"/>
        <rFont val="Calibri"/>
        <family val="2"/>
      </rPr>
      <t>COMM. .SEC. SCH. OGBUNKA (GSS)</t>
    </r>
  </si>
  <si>
    <r>
      <rPr>
        <b/>
        <sz val="16"/>
        <rFont val="Calibri"/>
        <family val="2"/>
      </rPr>
      <t>UNION SEC.SCH. OWERE EZUKALA</t>
    </r>
  </si>
  <si>
    <r>
      <rPr>
        <b/>
        <sz val="16"/>
        <rFont val="Calibri"/>
        <family val="2"/>
      </rPr>
      <t>COMM. SEC.SCH. OWERE EZUKALA</t>
    </r>
  </si>
  <si>
    <r>
      <rPr>
        <b/>
        <sz val="16"/>
        <rFont val="Calibri"/>
        <family val="2"/>
      </rPr>
      <t>COMM. HIGH.SCH. OGBOJI</t>
    </r>
  </si>
  <si>
    <r>
      <rPr>
        <b/>
        <sz val="16"/>
        <rFont val="Calibri"/>
        <family val="2"/>
      </rPr>
      <t>UNION SEC.SCH. UMUOMAKU</t>
    </r>
  </si>
  <si>
    <r>
      <rPr>
        <b/>
        <sz val="16"/>
        <rFont val="Calibri"/>
        <family val="2"/>
      </rPr>
      <t>BASDEN MEMORIAL EDU. CENTER ISULO</t>
    </r>
  </si>
  <si>
    <r>
      <rPr>
        <b/>
        <sz val="16"/>
        <rFont val="Calibri"/>
        <family val="2"/>
      </rPr>
      <t>COMMUNITY SECONADRY</t>
    </r>
    <r>
      <rPr>
        <b/>
        <sz val="16"/>
        <rFont val="Calibri"/>
        <family val="2"/>
      </rPr>
      <t xml:space="preserve">  </t>
    </r>
    <r>
      <rPr>
        <b/>
        <sz val="16"/>
        <rFont val="Calibri"/>
        <family val="2"/>
      </rPr>
      <t>SCHOOL, EZIAGU</t>
    </r>
  </si>
  <si>
    <r>
      <rPr>
        <b/>
        <sz val="16"/>
        <rFont val="Calibri"/>
        <family val="2"/>
      </rPr>
      <t>ROSA MYSTICA HIGH SCHOOL AGULU</t>
    </r>
  </si>
  <si>
    <r>
      <rPr>
        <b/>
        <sz val="16"/>
        <rFont val="Calibri"/>
        <family val="2"/>
      </rPr>
      <t>FLORA A.M.C SEC.SCH. NENI</t>
    </r>
  </si>
  <si>
    <r>
      <rPr>
        <b/>
        <sz val="16"/>
        <rFont val="Calibri"/>
        <family val="2"/>
      </rPr>
      <t>LORETTO SPE. SEC. SCH. ADAZI NNUKWU</t>
    </r>
  </si>
  <si>
    <r>
      <rPr>
        <b/>
        <sz val="16"/>
        <rFont val="Calibri"/>
        <family val="2"/>
      </rPr>
      <t>COMM. SEC. SCH. OBELEDU</t>
    </r>
  </si>
  <si>
    <r>
      <rPr>
        <b/>
        <sz val="16"/>
        <rFont val="Calibri"/>
        <family val="2"/>
      </rPr>
      <t>COMM. SEC. SCH. ICHIDA</t>
    </r>
  </si>
  <si>
    <r>
      <rPr>
        <b/>
        <sz val="16"/>
        <rFont val="Calibri"/>
        <family val="2"/>
      </rPr>
      <t>COMM. HIGH SCH. AGULUZIGBO</t>
    </r>
  </si>
  <si>
    <r>
      <rPr>
        <b/>
        <sz val="16"/>
        <rFont val="Calibri"/>
        <family val="2"/>
      </rPr>
      <t>BUBENDORFF M.G.S. ADAZI-NNUKWU</t>
    </r>
  </si>
  <si>
    <r>
      <rPr>
        <b/>
        <sz val="16"/>
        <rFont val="Calibri"/>
        <family val="2"/>
      </rPr>
      <t>COMM. SEC. SCH. AGULU</t>
    </r>
  </si>
  <si>
    <r>
      <rPr>
        <b/>
        <sz val="16"/>
        <rFont val="Calibri"/>
        <family val="2"/>
      </rPr>
      <t>OJIAKO MEM0 GRAM SCH. ADAZI-ANI</t>
    </r>
  </si>
  <si>
    <r>
      <rPr>
        <b/>
        <sz val="16"/>
        <rFont val="Calibri"/>
        <family val="2"/>
      </rPr>
      <t>UNION SEC. SCH. AGULU</t>
    </r>
  </si>
  <si>
    <r>
      <rPr>
        <b/>
        <sz val="16"/>
        <rFont val="Calibri"/>
        <family val="2"/>
      </rPr>
      <t>COMM. HIGH SCH. ADAZI</t>
    </r>
  </si>
  <si>
    <r>
      <rPr>
        <b/>
        <sz val="16"/>
        <color rgb="FFFF0000"/>
        <rFont val="Calibri"/>
        <family val="2"/>
      </rPr>
      <t>COMM HIGH SCH. AKWAEZE</t>
    </r>
  </si>
  <si>
    <r>
      <rPr>
        <b/>
        <sz val="16"/>
        <rFont val="Calibri"/>
        <family val="2"/>
      </rPr>
      <t>AGULU GRAM. SCH. AGULU</t>
    </r>
  </si>
  <si>
    <r>
      <rPr>
        <b/>
        <sz val="16"/>
        <rFont val="Calibri"/>
        <family val="2"/>
      </rPr>
      <t>LAKE-CITY SEC. SCH. NRI</t>
    </r>
  </si>
  <si>
    <r>
      <rPr>
        <b/>
        <sz val="16"/>
        <rFont val="Calibri"/>
        <family val="2"/>
      </rPr>
      <t>COMM. SEC. SCH. ADAZI-NNUKWU</t>
    </r>
  </si>
  <si>
    <r>
      <rPr>
        <b/>
        <sz val="16"/>
        <rFont val="Calibri"/>
        <family val="2"/>
      </rPr>
      <t>REGAL SEC. SCH. NRI</t>
    </r>
  </si>
  <si>
    <r>
      <rPr>
        <b/>
        <sz val="16"/>
        <rFont val="Calibri"/>
        <family val="2"/>
      </rPr>
      <t>COMM. SEC. SCH. AMANSEA</t>
    </r>
  </si>
  <si>
    <r>
      <rPr>
        <b/>
        <sz val="16"/>
        <rFont val="Calibri"/>
        <family val="2"/>
      </rPr>
      <t>COMM. SEC. SCH. ISUANIOCHA</t>
    </r>
  </si>
  <si>
    <r>
      <rPr>
        <b/>
        <sz val="16"/>
        <rFont val="Calibri"/>
        <family val="2"/>
      </rPr>
      <t>COMM. SEC. SCH. EBENEBE</t>
    </r>
  </si>
  <si>
    <r>
      <rPr>
        <b/>
        <sz val="16"/>
        <rFont val="Calibri"/>
        <family val="2"/>
      </rPr>
      <t>COMM. SEC. SCH. MGBAKWU</t>
    </r>
  </si>
  <si>
    <r>
      <rPr>
        <b/>
        <sz val="16"/>
        <rFont val="Calibri"/>
        <family val="2"/>
      </rPr>
      <t>COMM. SEC. SCH. ACHALLA</t>
    </r>
  </si>
  <si>
    <r>
      <rPr>
        <b/>
        <sz val="16"/>
        <rFont val="Calibri"/>
        <family val="2"/>
      </rPr>
      <t>COMM. SEC. SCH. AMANUKE</t>
    </r>
  </si>
  <si>
    <r>
      <rPr>
        <b/>
        <sz val="16"/>
        <rFont val="Calibri"/>
        <family val="2"/>
      </rPr>
      <t>COMM. SEC. SCH. URUM</t>
    </r>
  </si>
  <si>
    <r>
      <rPr>
        <b/>
        <sz val="16"/>
        <rFont val="Calibri"/>
        <family val="2"/>
      </rPr>
      <t>COMMUNITY HIGH SCHOOL, UGBENU</t>
    </r>
  </si>
  <si>
    <r>
      <rPr>
        <b/>
        <sz val="16"/>
        <rFont val="Calibri"/>
        <family val="2"/>
      </rPr>
      <t>UNITY COLLEGE UMUJI, EBENEBE</t>
    </r>
  </si>
  <si>
    <r>
      <rPr>
        <b/>
        <sz val="16"/>
        <rFont val="Calibri"/>
        <family val="2"/>
      </rPr>
      <t>COMM. SEC. SCH. AWBA OFEMILI</t>
    </r>
  </si>
  <si>
    <r>
      <rPr>
        <b/>
        <sz val="16"/>
        <rFont val="Calibri"/>
        <family val="2"/>
      </rPr>
      <t>ST. JOHN SEC. SCH. AWKA</t>
    </r>
  </si>
  <si>
    <r>
      <rPr>
        <b/>
        <sz val="16"/>
        <rFont val="Calibri"/>
        <family val="2"/>
      </rPr>
      <t>IGWEBUIKE GRAMMER SCH. AWKA</t>
    </r>
  </si>
  <si>
    <r>
      <rPr>
        <b/>
        <sz val="16"/>
        <rFont val="Calibri"/>
        <family val="2"/>
      </rPr>
      <t>GIRLS' SEC. SCH. AWKA</t>
    </r>
  </si>
  <si>
    <r>
      <rPr>
        <b/>
        <sz val="16"/>
        <rFont val="Calibri"/>
        <family val="2"/>
      </rPr>
      <t>COMM. SEC. SCH UMUOKPU</t>
    </r>
  </si>
  <si>
    <r>
      <rPr>
        <b/>
        <sz val="16"/>
        <rFont val="Calibri"/>
        <family val="2"/>
      </rPr>
      <t>CAPITAL CITY SEC. SCH. AWKA</t>
    </r>
  </si>
  <si>
    <r>
      <rPr>
        <b/>
        <sz val="16"/>
        <rFont val="Calibri"/>
        <family val="2"/>
      </rPr>
      <t>KENNETH DIKE MEM. SEC. SCH. AWKA</t>
    </r>
  </si>
  <si>
    <t>CAMEROON</t>
  </si>
  <si>
    <r>
      <rPr>
        <b/>
        <sz val="16"/>
        <rFont val="Calibri"/>
        <family val="2"/>
      </rPr>
      <t>EZI-AWKA COMM. SEC. SCH. AWKA</t>
    </r>
  </si>
  <si>
    <r>
      <rPr>
        <b/>
        <sz val="16"/>
        <rFont val="Calibri"/>
        <family val="2"/>
      </rPr>
      <t>COMM. SEC. SCH. OKPUNO</t>
    </r>
  </si>
  <si>
    <t>LIBERIA</t>
  </si>
  <si>
    <r>
      <rPr>
        <b/>
        <sz val="16"/>
        <rFont val="Calibri"/>
        <family val="2"/>
      </rPr>
      <t>NNEOMA COMM. SEC. SCH. NIBO</t>
    </r>
  </si>
  <si>
    <r>
      <rPr>
        <b/>
        <sz val="16"/>
        <rFont val="Calibri"/>
        <family val="2"/>
      </rPr>
      <t>COMM. SEC. SCH. MBAUKWU</t>
    </r>
  </si>
  <si>
    <r>
      <rPr>
        <b/>
        <sz val="16"/>
        <rFont val="Calibri"/>
        <family val="2"/>
      </rPr>
      <t>EMEKA AGHASILI HIGH SCH. NISE</t>
    </r>
  </si>
  <si>
    <r>
      <rPr>
        <b/>
        <sz val="16"/>
        <rFont val="Calibri"/>
        <family val="2"/>
      </rPr>
      <t>COMM. SEC. SCH. AGULU AWKA</t>
    </r>
  </si>
  <si>
    <r>
      <rPr>
        <b/>
        <sz val="16"/>
        <rFont val="Calibri"/>
        <family val="2"/>
      </rPr>
      <t>COMM. SEC. SCH. AMAWBIA</t>
    </r>
  </si>
  <si>
    <r>
      <rPr>
        <b/>
        <sz val="16"/>
        <rFont val="Calibri"/>
        <family val="2"/>
      </rPr>
      <t>UNION SEC. SCH. UMUAWULU</t>
    </r>
  </si>
  <si>
    <r>
      <rPr>
        <b/>
        <sz val="16"/>
        <rFont val="Calibri"/>
        <family val="2"/>
      </rPr>
      <t>UNION SEC. SCH. AMAWBIA</t>
    </r>
  </si>
  <si>
    <r>
      <rPr>
        <b/>
        <sz val="16"/>
        <rFont val="Calibri"/>
        <family val="2"/>
      </rPr>
      <t>EZEIKE HIGH SCH. NIBO</t>
    </r>
  </si>
  <si>
    <r>
      <rPr>
        <b/>
        <sz val="16"/>
        <rFont val="Calibri"/>
        <family val="2"/>
      </rPr>
      <t>HOLY CROSS HIGH SCH. UMUAWULU/MBAUKWU</t>
    </r>
  </si>
  <si>
    <r>
      <rPr>
        <b/>
        <sz val="16"/>
        <rFont val="Calibri"/>
        <family val="2"/>
      </rPr>
      <t>COMM. SEC. SCH. ISIAGU</t>
    </r>
  </si>
  <si>
    <r>
      <rPr>
        <b/>
        <sz val="16"/>
        <rFont val="Calibri"/>
        <family val="2"/>
      </rPr>
      <t>STATE MODEL JUNIOR SEC. SCH., IYIAGU II AWKA</t>
    </r>
  </si>
  <si>
    <r>
      <rPr>
        <b/>
        <sz val="16"/>
        <rFont val="Calibri"/>
        <family val="2"/>
      </rPr>
      <t>ST. MARY'S HIGH SCH. IFITEDUNU</t>
    </r>
  </si>
  <si>
    <r>
      <rPr>
        <b/>
        <sz val="16"/>
        <rFont val="Calibri"/>
        <family val="2"/>
      </rPr>
      <t>WALTER EZE MEMO SEC. SCH. UKPO</t>
    </r>
  </si>
  <si>
    <r>
      <rPr>
        <b/>
        <sz val="16"/>
        <rFont val="Calibri"/>
        <family val="2"/>
      </rPr>
      <t>COMM SEC. SCH. UMUNNACHI</t>
    </r>
  </si>
  <si>
    <r>
      <rPr>
        <b/>
        <sz val="16"/>
        <rFont val="Calibri"/>
        <family val="2"/>
      </rPr>
      <t>NNEAMAKA SEC. SCH. IFITEDUNU</t>
    </r>
  </si>
  <si>
    <t>CAMEROOON</t>
  </si>
  <si>
    <r>
      <rPr>
        <b/>
        <sz val="16"/>
        <rFont val="Calibri"/>
        <family val="2"/>
      </rPr>
      <t>COMM. SEC. SCH. UKPO</t>
    </r>
  </si>
  <si>
    <r>
      <rPr>
        <b/>
        <sz val="16"/>
        <rFont val="Calibri"/>
        <family val="2"/>
      </rPr>
      <t>COMM. SEC. SCH. UKWULU</t>
    </r>
  </si>
  <si>
    <r>
      <rPr>
        <b/>
        <sz val="16"/>
        <rFont val="Calibri"/>
        <family val="2"/>
      </rPr>
      <t>ST. KIZITO GIRLS' SEC. SCH. UMUDIOKA</t>
    </r>
  </si>
  <si>
    <r>
      <rPr>
        <b/>
        <sz val="16"/>
        <rFont val="Calibri"/>
        <family val="2"/>
      </rPr>
      <t>COMM. HIGH SCH. NAWGU</t>
    </r>
  </si>
  <si>
    <r>
      <rPr>
        <b/>
        <sz val="16"/>
        <color rgb="FFFF0000"/>
        <rFont val="Calibri"/>
        <family val="2"/>
      </rPr>
      <t>COMP. SEC. SCH. NAWFIA</t>
    </r>
  </si>
  <si>
    <r>
      <rPr>
        <b/>
        <sz val="16"/>
        <rFont val="Calibri"/>
        <family val="2"/>
      </rPr>
      <t>GIRLS' SEC. SCH. ABAGANA</t>
    </r>
  </si>
  <si>
    <r>
      <rPr>
        <b/>
        <sz val="16"/>
        <rFont val="Calibri"/>
        <family val="2"/>
      </rPr>
      <t>NNAMDI AZIK. SEC. SCH. ABAGANA</t>
    </r>
  </si>
  <si>
    <r>
      <rPr>
        <b/>
        <sz val="16"/>
        <rFont val="Calibri"/>
        <family val="2"/>
      </rPr>
      <t>IDE SEC. SCH. ENUGWU-UKWU</t>
    </r>
  </si>
  <si>
    <r>
      <rPr>
        <b/>
        <sz val="16"/>
        <rFont val="Calibri"/>
        <family val="2"/>
      </rPr>
      <t>ST. MICHEAL'S MOD.COMP.SEC.SCH. NIMO</t>
    </r>
  </si>
  <si>
    <r>
      <rPr>
        <b/>
        <sz val="16"/>
        <rFont val="Calibri"/>
        <family val="2"/>
      </rPr>
      <t>COMM</t>
    </r>
    <r>
      <rPr>
        <b/>
        <sz val="16"/>
        <rFont val="Calibri"/>
        <family val="2"/>
      </rPr>
      <t xml:space="preserve">  </t>
    </r>
    <r>
      <rPr>
        <b/>
        <sz val="16"/>
        <rFont val="Calibri"/>
        <family val="2"/>
      </rPr>
      <t>SEC</t>
    </r>
    <r>
      <rPr>
        <b/>
        <sz val="16"/>
        <rFont val="Calibri"/>
        <family val="2"/>
      </rPr>
      <t xml:space="preserve">  </t>
    </r>
    <r>
      <rPr>
        <b/>
        <sz val="16"/>
        <rFont val="Calibri"/>
        <family val="2"/>
      </rPr>
      <t>SCH</t>
    </r>
    <r>
      <rPr>
        <b/>
        <sz val="16"/>
        <rFont val="Calibri"/>
        <family val="2"/>
      </rPr>
      <t xml:space="preserve">  </t>
    </r>
    <r>
      <rPr>
        <b/>
        <sz val="16"/>
        <rFont val="Calibri"/>
        <family val="2"/>
      </rPr>
      <t>NIMO</t>
    </r>
  </si>
  <si>
    <r>
      <rPr>
        <b/>
        <sz val="16"/>
        <rFont val="Calibri"/>
        <family val="2"/>
      </rPr>
      <t>COMM. SEC. SCH. ABBA</t>
    </r>
  </si>
  <si>
    <r>
      <rPr>
        <b/>
        <sz val="16"/>
        <rFont val="Calibri"/>
        <family val="2"/>
      </rPr>
      <t>GOVT. TECH. COLLEGE ENUGWU-AGIDI</t>
    </r>
  </si>
  <si>
    <r>
      <rPr>
        <b/>
        <sz val="16"/>
        <rFont val="Calibri"/>
        <family val="2"/>
      </rPr>
      <t>COMM. SEC. SCH. ENUGWU-AGIDI</t>
    </r>
  </si>
  <si>
    <r>
      <rPr>
        <b/>
        <sz val="16"/>
        <rFont val="Calibri"/>
        <family val="2"/>
      </rPr>
      <t>NAWFIA COMM. SEC. SCH. NAWFIA</t>
    </r>
  </si>
  <si>
    <r>
      <rPr>
        <b/>
        <sz val="16"/>
        <rFont val="Calibri"/>
        <family val="2"/>
      </rPr>
      <t>OKUTALUKWE COMM. SEC. SCH. E/UKWU</t>
    </r>
  </si>
  <si>
    <r>
      <rPr>
        <b/>
        <sz val="16"/>
        <rFont val="Calibri"/>
        <family val="2"/>
      </rPr>
      <t>GIRLS' SEC. SCHOOL, NNEWI</t>
    </r>
  </si>
  <si>
    <r>
      <rPr>
        <b/>
        <sz val="16"/>
        <rFont val="Calibri"/>
        <family val="2"/>
      </rPr>
      <t>M. REGINA MOD. COM. SEC. SCH. NNEWI</t>
    </r>
  </si>
  <si>
    <r>
      <rPr>
        <b/>
        <sz val="16"/>
        <rFont val="Calibri"/>
        <family val="2"/>
      </rPr>
      <t>NNEWI HIGH SCHOOL, NNEWI</t>
    </r>
  </si>
  <si>
    <r>
      <rPr>
        <b/>
        <sz val="16"/>
        <rFont val="Calibri"/>
        <family val="2"/>
      </rPr>
      <t>NIGERIAN SC. &amp; TECH. COLLEGE, NNEWI</t>
    </r>
  </si>
  <si>
    <r>
      <rPr>
        <b/>
        <sz val="16"/>
        <rFont val="Calibri"/>
        <family val="2"/>
      </rPr>
      <t>OKONGWU MEM. GRAM. SCH, NNEWI</t>
    </r>
  </si>
  <si>
    <r>
      <rPr>
        <b/>
        <sz val="16"/>
        <rFont val="Calibri"/>
        <family val="2"/>
      </rPr>
      <t>WOMEN ED. CENTRE, NNEWI</t>
    </r>
  </si>
  <si>
    <r>
      <rPr>
        <b/>
        <sz val="16"/>
        <rFont val="Calibri"/>
        <family val="2"/>
      </rPr>
      <t>COMM. SEC. SCH. NNEWICHI, NNEWI</t>
    </r>
  </si>
  <si>
    <r>
      <rPr>
        <b/>
        <sz val="16"/>
        <rFont val="Calibri"/>
        <family val="2"/>
      </rPr>
      <t>AKABOEZEM COMM.SCH, URUAGU NNEWI</t>
    </r>
  </si>
  <si>
    <r>
      <rPr>
        <b/>
        <sz val="16"/>
        <rFont val="Calibri"/>
        <family val="2"/>
      </rPr>
      <t>UNION SEC. SCHOOL, (BSS) AMICHI</t>
    </r>
  </si>
  <si>
    <r>
      <rPr>
        <b/>
        <sz val="16"/>
        <rFont val="Calibri"/>
        <family val="2"/>
      </rPr>
      <t>COMMUNITY SEC. SCHOOL, AMICHI</t>
    </r>
  </si>
  <si>
    <r>
      <rPr>
        <b/>
        <sz val="16"/>
        <rFont val="Calibri"/>
        <family val="2"/>
      </rPr>
      <t>COMMUNITY SEC. SCH.</t>
    </r>
    <r>
      <rPr>
        <b/>
        <sz val="16"/>
        <rFont val="Calibri"/>
        <family val="2"/>
      </rPr>
      <t xml:space="preserve">  </t>
    </r>
    <r>
      <rPr>
        <b/>
        <sz val="16"/>
        <rFont val="Calibri"/>
        <family val="2"/>
      </rPr>
      <t>AZIGBO</t>
    </r>
  </si>
  <si>
    <r>
      <rPr>
        <b/>
        <sz val="16"/>
        <rFont val="Calibri"/>
        <family val="2"/>
      </rPr>
      <t>COMMUNITY SEC. SCHOOL, EBENATOR</t>
    </r>
  </si>
  <si>
    <r>
      <rPr>
        <b/>
        <sz val="16"/>
        <rFont val="Calibri"/>
        <family val="2"/>
      </rPr>
      <t>COMMUNITY SEC. SCHOOL, EKWULUMILI</t>
    </r>
  </si>
  <si>
    <r>
      <rPr>
        <b/>
        <sz val="16"/>
        <rFont val="Calibri"/>
        <family val="2"/>
      </rPr>
      <t>COMMUNITY HIGH SCHOOL, EZINIFITE</t>
    </r>
  </si>
  <si>
    <r>
      <rPr>
        <b/>
        <sz val="16"/>
        <rFont val="Calibri"/>
        <family val="2"/>
      </rPr>
      <t>AWO-EZIMUZO CSS, EZINIFITE</t>
    </r>
  </si>
  <si>
    <r>
      <rPr>
        <b/>
        <sz val="16"/>
        <rFont val="Calibri"/>
        <family val="2"/>
      </rPr>
      <t xml:space="preserve">OSUMENYI HIGH SCH OSUMENYI </t>
    </r>
  </si>
  <si>
    <r>
      <rPr>
        <b/>
        <sz val="16"/>
        <rFont val="Calibri"/>
        <family val="2"/>
      </rPr>
      <t>COMMUNITY HIGH SCHOOL, OSUMENYI</t>
    </r>
  </si>
  <si>
    <r>
      <rPr>
        <b/>
        <sz val="16"/>
        <rFont val="Calibri"/>
        <family val="2"/>
      </rPr>
      <t>COMMUNITY SEC. SCHOOL, UKPOR</t>
    </r>
  </si>
  <si>
    <r>
      <rPr>
        <b/>
        <sz val="16"/>
        <rFont val="Calibri"/>
        <family val="2"/>
      </rPr>
      <t>UKPOR HIGH SCHOOL, UKPOR</t>
    </r>
  </si>
  <si>
    <r>
      <rPr>
        <b/>
        <sz val="16"/>
        <rFont val="Calibri"/>
        <family val="2"/>
      </rPr>
      <t>UNUBI HIGH SCHOOL UNUBI</t>
    </r>
  </si>
  <si>
    <r>
      <rPr>
        <b/>
        <sz val="16"/>
        <rFont val="Calibri"/>
        <family val="2"/>
      </rPr>
      <t>ST. JOHNBOSCO (PREMIER) SEC. SCH. UNUBI</t>
    </r>
  </si>
  <si>
    <r>
      <rPr>
        <b/>
        <sz val="16"/>
        <rFont val="Calibri"/>
        <family val="2"/>
      </rPr>
      <t>UTUH HIGH SCHOOL, UTUH</t>
    </r>
  </si>
  <si>
    <r>
      <rPr>
        <b/>
        <sz val="16"/>
        <rFont val="Calibri"/>
        <family val="2"/>
      </rPr>
      <t>GOVT. TECHNICAL COLLEGE, UTUH</t>
    </r>
  </si>
  <si>
    <r>
      <rPr>
        <b/>
        <sz val="16"/>
        <rFont val="Calibri"/>
        <family val="2"/>
      </rPr>
      <t>COMMUNITY SEC. SCHOOL, AKWAIHEDI</t>
    </r>
  </si>
  <si>
    <r>
      <rPr>
        <b/>
        <sz val="16"/>
        <rFont val="Calibri"/>
        <family val="2"/>
      </rPr>
      <t>EBE UNITY COLLEGE UKPOR</t>
    </r>
  </si>
  <si>
    <r>
      <rPr>
        <b/>
        <sz val="16"/>
        <rFont val="Calibri"/>
        <family val="2"/>
      </rPr>
      <t>UNION SEC. SCHOOL, ICHI</t>
    </r>
    <r>
      <rPr>
        <b/>
        <sz val="16"/>
        <rFont val="Calibri"/>
        <family val="2"/>
      </rPr>
      <t xml:space="preserve"> </t>
    </r>
  </si>
  <si>
    <t xml:space="preserve">cameroon </t>
  </si>
  <si>
    <t>togo</t>
  </si>
  <si>
    <r>
      <rPr>
        <b/>
        <sz val="16"/>
        <rFont val="Calibri"/>
        <family val="2"/>
      </rPr>
      <t>COMMUNITY SEC. SCHOOL, IHEMBOSI</t>
    </r>
  </si>
  <si>
    <r>
      <rPr>
        <b/>
        <sz val="16"/>
        <rFont val="Calibri"/>
        <family val="2"/>
      </rPr>
      <t>BOYS' SEC. SCHOOL, ORAIFITE</t>
    </r>
  </si>
  <si>
    <r>
      <rPr>
        <b/>
        <sz val="16"/>
        <rFont val="Calibri"/>
        <family val="2"/>
      </rPr>
      <t>COMMUNITY (GIRLS') SEC. SCHOOL, ORAIFITE</t>
    </r>
  </si>
  <si>
    <t>ghana</t>
  </si>
  <si>
    <r>
      <rPr>
        <b/>
        <sz val="16"/>
        <rFont val="Calibri"/>
        <family val="2"/>
      </rPr>
      <t>COMMUNITY SEC. SCHOOL, OZUBULU</t>
    </r>
  </si>
  <si>
    <t>benin republic</t>
  </si>
  <si>
    <r>
      <rPr>
        <b/>
        <sz val="16"/>
        <rFont val="Calibri"/>
        <family val="2"/>
      </rPr>
      <t>CATH. GIRLS' SEC. SCHOOL, OZUBULU</t>
    </r>
  </si>
  <si>
    <r>
      <rPr>
        <b/>
        <sz val="16"/>
        <rFont val="Calibri"/>
        <family val="2"/>
      </rPr>
      <t>ZIXTON SEC. SCHOOL, OZUBULU</t>
    </r>
  </si>
  <si>
    <r>
      <rPr>
        <b/>
        <sz val="16"/>
        <rFont val="Calibri"/>
        <family val="2"/>
      </rPr>
      <t>GOVT. TECHNICAL COLLEGE, ICHI</t>
    </r>
  </si>
  <si>
    <r>
      <rPr>
        <b/>
        <sz val="16"/>
        <rFont val="Calibri"/>
        <family val="2"/>
      </rPr>
      <t>COMMUNITY HIGH SCHOOL, AMORKA</t>
    </r>
  </si>
  <si>
    <r>
      <rPr>
        <b/>
        <sz val="16"/>
        <rFont val="Calibri"/>
        <family val="2"/>
      </rPr>
      <t>COMMUNITY SEC. SCHOOL, AZIA</t>
    </r>
  </si>
  <si>
    <r>
      <rPr>
        <b/>
        <sz val="16"/>
        <rFont val="Calibri"/>
        <family val="2"/>
      </rPr>
      <t>ST. ANTHONY'S SEC. SCHOOL, AZIA</t>
    </r>
  </si>
  <si>
    <r>
      <rPr>
        <b/>
        <sz val="16"/>
        <rFont val="Calibri"/>
        <family val="2"/>
      </rPr>
      <t>ABBOT GIRLS SEC. SCHOOL, IHIALA</t>
    </r>
  </si>
  <si>
    <t>cameroon</t>
  </si>
  <si>
    <r>
      <rPr>
        <b/>
        <sz val="16"/>
        <rFont val="Calibri"/>
        <family val="2"/>
      </rPr>
      <t>ABBOT BOY'S SEC. SCHOOL, IHIALA</t>
    </r>
  </si>
  <si>
    <r>
      <rPr>
        <b/>
        <sz val="16"/>
        <rFont val="Calibri"/>
        <family val="2"/>
      </rPr>
      <t>G.T.C. IHIALA</t>
    </r>
  </si>
  <si>
    <r>
      <rPr>
        <b/>
        <sz val="16"/>
        <rFont val="Calibri"/>
        <family val="2"/>
      </rPr>
      <t>ST. JUDE SEC. SCHOOL, IHIALA</t>
    </r>
  </si>
  <si>
    <r>
      <rPr>
        <b/>
        <sz val="16"/>
        <rFont val="Calibri"/>
        <family val="2"/>
      </rPr>
      <t>COMMUNITY SEC. SCHOOL, ISSEKE</t>
    </r>
  </si>
  <si>
    <r>
      <rPr>
        <b/>
        <sz val="16"/>
        <rFont val="Calibri"/>
        <family val="2"/>
      </rPr>
      <t>COMMUNITY SEC. SCHOOL, LILU</t>
    </r>
  </si>
  <si>
    <r>
      <rPr>
        <b/>
        <sz val="16"/>
        <rFont val="Calibri"/>
        <family val="2"/>
      </rPr>
      <t>ST. AUGUSTINE COLLEGE</t>
    </r>
    <r>
      <rPr>
        <b/>
        <sz val="16"/>
        <rFont val="Calibri"/>
        <family val="2"/>
      </rPr>
      <t xml:space="preserve">  </t>
    </r>
    <r>
      <rPr>
        <b/>
        <sz val="16"/>
        <rFont val="Calibri"/>
        <family val="2"/>
      </rPr>
      <t>MBOSI</t>
    </r>
  </si>
  <si>
    <r>
      <rPr>
        <b/>
        <sz val="16"/>
        <rFont val="Calibri"/>
        <family val="2"/>
      </rPr>
      <t>UNION SEC. SCHOOL, OKIJA</t>
    </r>
  </si>
  <si>
    <r>
      <rPr>
        <b/>
        <sz val="16"/>
        <rFont val="Calibri"/>
        <family val="2"/>
      </rPr>
      <t>OKIJA GRAM. SCHOOL, OKIJA</t>
    </r>
  </si>
  <si>
    <r>
      <rPr>
        <b/>
        <sz val="16"/>
        <rFont val="Calibri"/>
        <family val="2"/>
      </rPr>
      <t>COMMUNITY SEC. SCH, ORSUMUOGHU</t>
    </r>
  </si>
  <si>
    <r>
      <rPr>
        <b/>
        <sz val="16"/>
        <rFont val="Calibri"/>
        <family val="2"/>
      </rPr>
      <t>ULI HIGH SCHOOL, ULI</t>
    </r>
  </si>
  <si>
    <r>
      <rPr>
        <b/>
        <sz val="16"/>
        <rFont val="Calibri"/>
        <family val="2"/>
      </rPr>
      <t>COMMUNITY HIGH SCH. UMUOMA-ULI</t>
    </r>
  </si>
  <si>
    <r>
      <rPr>
        <b/>
        <sz val="16"/>
        <rFont val="Calibri"/>
        <family val="2"/>
      </rPr>
      <t>ASSUMPTION GIRLS ULI</t>
    </r>
  </si>
  <si>
    <r>
      <rPr>
        <b/>
        <sz val="16"/>
        <color rgb="FFFF0000"/>
        <rFont val="Calibri"/>
        <family val="2"/>
      </rPr>
      <t>COMM. SEC. SCH. OGWUANIOCHA</t>
    </r>
  </si>
  <si>
    <r>
      <rPr>
        <b/>
        <sz val="16"/>
        <rFont val="Calibri"/>
        <family val="2"/>
      </rPr>
      <t>NOTRE DAME HIGH SCHOOL ABATETE</t>
    </r>
  </si>
  <si>
    <r>
      <rPr>
        <b/>
        <sz val="16"/>
        <color rgb="FF000000"/>
        <rFont val="Calibri"/>
        <family val="2"/>
      </rPr>
      <t>ABANNA GIRLS SEC. SCH. ABATETE</t>
    </r>
  </si>
  <si>
    <r>
      <rPr>
        <b/>
        <sz val="16"/>
        <rFont val="Calibri"/>
        <family val="2"/>
      </rPr>
      <t>COMM. SEC. SCH. EZIOWELLE</t>
    </r>
  </si>
  <si>
    <r>
      <rPr>
        <b/>
        <sz val="16"/>
        <color rgb="FF000000"/>
        <rFont val="Calibri"/>
        <family val="2"/>
      </rPr>
      <t>COMM. SEC. SCH. IDEANI</t>
    </r>
  </si>
  <si>
    <r>
      <rPr>
        <b/>
        <sz val="16"/>
        <color rgb="FF000000"/>
        <rFont val="Calibri"/>
        <family val="2"/>
      </rPr>
      <t>GOVT. TECHNICAL COLLEGE NKPOR</t>
    </r>
  </si>
  <si>
    <r>
      <rPr>
        <b/>
        <sz val="16"/>
        <color rgb="FF000000"/>
        <rFont val="Calibri"/>
        <family val="2"/>
      </rPr>
      <t>URBAN SEC. SCH. NKPOR</t>
    </r>
  </si>
  <si>
    <r>
      <rPr>
        <b/>
        <sz val="16"/>
        <color rgb="FF000000"/>
        <rFont val="Calibri"/>
        <family val="2"/>
      </rPr>
      <t>COMM. SEC. SCH. OBOSI</t>
    </r>
  </si>
  <si>
    <r>
      <rPr>
        <b/>
        <sz val="16"/>
        <color rgb="FF000000"/>
        <rFont val="Calibri"/>
        <family val="2"/>
      </rPr>
      <t>UNION SEC. SCH. OBOSI (G.S.S. OBOSI)</t>
    </r>
  </si>
  <si>
    <r>
      <rPr>
        <b/>
        <sz val="16"/>
        <rFont val="Calibri"/>
        <family val="2"/>
      </rPr>
      <t>ARCHB. HEEREY TECH. COL.  OGIDI</t>
    </r>
  </si>
  <si>
    <r>
      <rPr>
        <b/>
        <sz val="16"/>
        <rFont val="Calibri"/>
        <family val="2"/>
      </rPr>
      <t>GIRLS' SEC. SCH. OGIDI (A.G.S.S. OGIDI)</t>
    </r>
  </si>
  <si>
    <r>
      <rPr>
        <b/>
        <sz val="16"/>
        <color rgb="FF000000"/>
        <rFont val="Calibri"/>
        <family val="2"/>
      </rPr>
      <t>COMM. SEC. SCH. ORAUKWU</t>
    </r>
  </si>
  <si>
    <r>
      <rPr>
        <b/>
        <sz val="16"/>
        <rFont val="Calibri"/>
        <family val="2"/>
      </rPr>
      <t>ORAUKWU GRAMMAR SCH. ORAUKWU</t>
    </r>
  </si>
  <si>
    <r>
      <rPr>
        <b/>
        <sz val="16"/>
        <rFont val="Calibri"/>
        <family val="2"/>
      </rPr>
      <t>COMM. SEC. SCH. UKE</t>
    </r>
  </si>
  <si>
    <r>
      <rPr>
        <b/>
        <sz val="16"/>
        <rFont val="Calibri"/>
        <family val="2"/>
      </rPr>
      <t>MATER AMABILIS SEC. SCH. UMUOJI</t>
    </r>
  </si>
  <si>
    <r>
      <rPr>
        <b/>
        <sz val="16"/>
        <color rgb="FF000000"/>
        <rFont val="Calibri"/>
        <family val="2"/>
      </rPr>
      <t>COMM. SEC. SCH. UMUOJI</t>
    </r>
  </si>
  <si>
    <r>
      <rPr>
        <b/>
        <sz val="16"/>
        <rFont val="Calibri"/>
        <family val="2"/>
      </rPr>
      <t>AWADA SEC. SCH. AWADA</t>
    </r>
  </si>
  <si>
    <r>
      <rPr>
        <b/>
        <sz val="16"/>
        <rFont val="Calibri"/>
        <family val="2"/>
      </rPr>
      <t>ST. JOHN SEC. SCH. AKWA-UKWU</t>
    </r>
  </si>
  <si>
    <r>
      <rPr>
        <b/>
        <sz val="16"/>
        <color rgb="FFFF0000"/>
        <rFont val="Calibri"/>
        <family val="2"/>
      </rPr>
      <t>ST. JOHN'S SCIENCE &amp; TEC. ALOR</t>
    </r>
  </si>
  <si>
    <r>
      <rPr>
        <b/>
        <sz val="16"/>
        <rFont val="Calibri"/>
        <family val="2"/>
      </rPr>
      <t>GIRLS' SEC. SCH. ALOR</t>
    </r>
  </si>
  <si>
    <r>
      <rPr>
        <b/>
        <sz val="16"/>
        <color rgb="FF000000"/>
        <rFont val="Calibri"/>
        <family val="2"/>
      </rPr>
      <t>GIRLS' SEC. SCH. AWKA-ETITI</t>
    </r>
  </si>
  <si>
    <r>
      <rPr>
        <b/>
        <sz val="16"/>
        <rFont val="Calibri"/>
        <family val="2"/>
      </rPr>
      <t>ST. JOSEPH'S SEC. SCH. AWKA-ETITI</t>
    </r>
  </si>
  <si>
    <r>
      <rPr>
        <b/>
        <sz val="16"/>
        <color rgb="FF000000"/>
        <rFont val="Calibri"/>
        <family val="2"/>
      </rPr>
      <t>OUR LADY'S SEC. SCH. NNOBI</t>
    </r>
  </si>
  <si>
    <r>
      <rPr>
        <b/>
        <sz val="16"/>
        <color rgb="FF000000"/>
        <rFont val="Calibri"/>
        <family val="2"/>
      </rPr>
      <t>COMM. SEC. SCH. NNOBI</t>
    </r>
  </si>
  <si>
    <r>
      <rPr>
        <b/>
        <sz val="16"/>
        <color rgb="FF000000"/>
        <rFont val="Calibri"/>
        <family val="2"/>
      </rPr>
      <t>COMM. SEC. SCH. NNOKWA</t>
    </r>
  </si>
  <si>
    <r>
      <rPr>
        <b/>
        <sz val="16"/>
        <color rgb="FF000000"/>
        <rFont val="Calibri"/>
        <family val="2"/>
      </rPr>
      <t>UNITY SEC. SCH. NNOKWA</t>
    </r>
  </si>
  <si>
    <r>
      <rPr>
        <b/>
        <sz val="16"/>
        <rFont val="Calibri"/>
        <family val="2"/>
      </rPr>
      <t>GIRLS' SEC. SCH. OBA</t>
    </r>
  </si>
  <si>
    <r>
      <rPr>
        <b/>
        <sz val="16"/>
        <rFont val="Calibri"/>
        <family val="2"/>
      </rPr>
      <t>MERCHANT OF LIGHT SEC. SCH. OBA</t>
    </r>
  </si>
  <si>
    <r>
      <rPr>
        <b/>
        <sz val="16"/>
        <color rgb="FF000000"/>
        <rFont val="Calibri"/>
        <family val="2"/>
      </rPr>
      <t>BOYS' SEC. SCH. OJOTO</t>
    </r>
  </si>
  <si>
    <r>
      <rPr>
        <b/>
        <sz val="16"/>
        <color rgb="FF000000"/>
        <rFont val="Calibri"/>
        <family val="2"/>
      </rPr>
      <t>GIRLS' SEC. SCH. OJOTO</t>
    </r>
  </si>
  <si>
    <r>
      <rPr>
        <b/>
        <sz val="16"/>
        <rFont val="Calibri"/>
        <family val="2"/>
      </rPr>
      <t>COMM. SEC. SCH. AWKUZU</t>
    </r>
  </si>
  <si>
    <r>
      <rPr>
        <b/>
        <sz val="16"/>
        <rFont val="Calibri"/>
        <family val="2"/>
      </rPr>
      <t>UNITY SEC. SCH. AWKUZU</t>
    </r>
  </si>
  <si>
    <r>
      <rPr>
        <b/>
        <sz val="16"/>
        <color rgb="FFFF0000"/>
        <rFont val="Calibri"/>
        <family val="2"/>
      </rPr>
      <t>MODEL COMPR. SEC. SCH. N/EZUNAKA</t>
    </r>
  </si>
  <si>
    <r>
      <rPr>
        <b/>
        <sz val="16"/>
        <rFont val="Calibri"/>
        <family val="2"/>
      </rPr>
      <t>COMM. HIGH SCH. N/EZUNAKA</t>
    </r>
  </si>
  <si>
    <r>
      <rPr>
        <b/>
        <sz val="16"/>
        <color rgb="FF000000"/>
        <rFont val="Calibri"/>
        <family val="2"/>
      </rPr>
      <t>COMM. HIGH SCH. NTEJE</t>
    </r>
  </si>
  <si>
    <r>
      <rPr>
        <b/>
        <sz val="16"/>
        <color rgb="FF000000"/>
        <rFont val="Calibri"/>
        <family val="2"/>
      </rPr>
      <t>NEW ERA SEC. SCH. NTEJE</t>
    </r>
  </si>
  <si>
    <r>
      <rPr>
        <b/>
        <sz val="16"/>
        <rFont val="Calibri"/>
        <family val="2"/>
      </rPr>
      <t>CAVE CITY SEC. SCH. OGBUNIKE</t>
    </r>
  </si>
  <si>
    <r>
      <rPr>
        <b/>
        <sz val="16"/>
        <rFont val="Calibri"/>
        <family val="2"/>
      </rPr>
      <t>ST. MONICA'S COLLEGE OGBUNIKE</t>
    </r>
  </si>
  <si>
    <r>
      <rPr>
        <b/>
        <sz val="16"/>
        <rFont val="Calibri"/>
        <family val="2"/>
      </rPr>
      <t>PROGRESSIVE SEC. SCH. UMUNYA</t>
    </r>
  </si>
  <si>
    <r>
      <rPr>
        <b/>
        <sz val="16"/>
        <color rgb="FF000000"/>
        <rFont val="Calibri"/>
        <family val="2"/>
      </rPr>
      <t>COMM. SEC. SCH. UMUNYA</t>
    </r>
  </si>
  <si>
    <r>
      <rPr>
        <b/>
        <sz val="16"/>
        <rFont val="Calibri"/>
        <family val="2"/>
      </rPr>
      <t>WOMEN EDUCATION CENTRE AWKUZU</t>
    </r>
  </si>
  <si>
    <r>
      <rPr>
        <b/>
        <sz val="16"/>
        <rFont val="Calibri"/>
        <family val="2"/>
      </rPr>
      <t>DENNIS MEMO. GRAM. SCHOOL</t>
    </r>
  </si>
  <si>
    <r>
      <rPr>
        <b/>
        <sz val="16"/>
        <rFont val="Calibri"/>
        <family val="2"/>
      </rPr>
      <t>ANGLICAN GIRLS' SEC. SCH. ONITSHA</t>
    </r>
  </si>
  <si>
    <r>
      <rPr>
        <b/>
        <sz val="16"/>
        <rFont val="Calibri"/>
        <family val="2"/>
      </rPr>
      <t>QUEEN OF ROSARY SCHOOL</t>
    </r>
  </si>
  <si>
    <r>
      <rPr>
        <b/>
        <sz val="16"/>
        <rFont val="Calibri"/>
        <family val="2"/>
      </rPr>
      <t>ADO GIRLS' SEC. SCHOOL</t>
    </r>
  </si>
  <si>
    <r>
      <rPr>
        <b/>
        <sz val="16"/>
        <rFont val="Calibri"/>
        <family val="2"/>
      </rPr>
      <t>ST. CHARLES SEC. SCHOOL</t>
    </r>
  </si>
  <si>
    <r>
      <rPr>
        <b/>
        <sz val="16"/>
        <rFont val="Calibri"/>
        <family val="2"/>
      </rPr>
      <t>EASTERN ACADEMY</t>
    </r>
  </si>
  <si>
    <r>
      <rPr>
        <b/>
        <sz val="16"/>
        <rFont val="Calibri"/>
        <family val="2"/>
      </rPr>
      <t>NEW ERA GIRLS' SEC. SCH.</t>
    </r>
  </si>
  <si>
    <r>
      <rPr>
        <b/>
        <sz val="16"/>
        <rFont val="Calibri"/>
        <family val="2"/>
      </rPr>
      <t>INLAND GIRLS' SEC. SCHOOL</t>
    </r>
  </si>
  <si>
    <r>
      <rPr>
        <b/>
        <sz val="16"/>
        <rFont val="Calibri"/>
        <family val="2"/>
      </rPr>
      <t>WASHINGTON MEM. SEC. SCH.</t>
    </r>
  </si>
  <si>
    <r>
      <rPr>
        <b/>
        <sz val="16"/>
        <rFont val="Calibri"/>
        <family val="2"/>
      </rPr>
      <t>PATTERSON MEMO GRAM SCHOOL OSHA</t>
    </r>
  </si>
  <si>
    <r>
      <rPr>
        <b/>
        <sz val="16"/>
        <rFont val="Calibri"/>
        <family val="2"/>
      </rPr>
      <t>PRINCE MEM. SEC. ONITSHA</t>
    </r>
  </si>
  <si>
    <r>
      <rPr>
        <b/>
        <sz val="16"/>
        <rFont val="Calibri"/>
        <family val="2"/>
      </rPr>
      <t>ARMY DAY SEC. SCHOOL</t>
    </r>
  </si>
  <si>
    <r>
      <rPr>
        <b/>
        <sz val="16"/>
        <rFont val="Calibri"/>
        <family val="2"/>
      </rPr>
      <t>METROPOLITAN COLLEGE</t>
    </r>
  </si>
  <si>
    <r>
      <rPr>
        <b/>
        <sz val="16"/>
        <rFont val="Calibri"/>
        <family val="2"/>
      </rPr>
      <t>GOVT. TECH. COLLEGE</t>
    </r>
  </si>
  <si>
    <r>
      <rPr>
        <b/>
        <sz val="16"/>
        <rFont val="Calibri"/>
        <family val="2"/>
      </rPr>
      <t>ONITSHA HIGH SCHOOL</t>
    </r>
  </si>
  <si>
    <r>
      <rPr>
        <b/>
        <sz val="16"/>
        <rFont val="Calibri"/>
        <family val="2"/>
      </rPr>
      <t>OUR LADY'S HIGH SCHOOL,</t>
    </r>
    <r>
      <rPr>
        <b/>
        <sz val="16"/>
        <rFont val="Calibri"/>
        <family val="2"/>
      </rPr>
      <t xml:space="preserve"> </t>
    </r>
  </si>
  <si>
    <r>
      <rPr>
        <b/>
        <sz val="16"/>
        <rFont val="Calibri"/>
        <family val="2"/>
      </rPr>
      <t>CHRIST THE KING COLLEGE</t>
    </r>
  </si>
  <si>
    <r>
      <rPr>
        <b/>
        <sz val="16"/>
        <rFont val="Calibri"/>
        <family val="2"/>
      </rPr>
      <t>MODEBE MEM. SEC. SCHOOL</t>
    </r>
  </si>
  <si>
    <r>
      <rPr>
        <b/>
        <sz val="16"/>
        <rFont val="Calibri"/>
        <family val="2"/>
      </rPr>
      <t>METU MEM.SEC.SCHOOL</t>
    </r>
  </si>
  <si>
    <r>
      <rPr>
        <b/>
        <sz val="16"/>
        <rFont val="Calibri"/>
        <family val="2"/>
      </rPr>
      <t>URBAN GIRLS SEC SCHOOL</t>
    </r>
  </si>
  <si>
    <r>
      <rPr>
        <b/>
        <sz val="16"/>
        <rFont val="Calibri"/>
        <family val="2"/>
      </rPr>
      <t>URBAN BOYS SEC SCHOOL</t>
    </r>
  </si>
  <si>
    <r>
      <rPr>
        <b/>
        <sz val="16"/>
        <rFont val="Calibri"/>
        <family val="2"/>
      </rPr>
      <t>SPECIAL SEC SCH FOR THE DEAF</t>
    </r>
  </si>
  <si>
    <r>
      <rPr>
        <b/>
        <sz val="16"/>
        <rFont val="Calibri"/>
        <family val="2"/>
      </rPr>
      <t>OGBARU HIGH. SCH.OGBAKUBA</t>
    </r>
  </si>
  <si>
    <r>
      <rPr>
        <b/>
        <sz val="16"/>
        <rFont val="Calibri"/>
        <family val="2"/>
      </rPr>
      <t>IDEKE GRAMM.SEC. SCH IDEKE</t>
    </r>
  </si>
  <si>
    <r>
      <rPr>
        <b/>
        <sz val="16"/>
        <rFont val="Calibri"/>
        <family val="2"/>
      </rPr>
      <t>UNITY COMP.GIRLS HIGH SCH. OKPOKO</t>
    </r>
  </si>
  <si>
    <r>
      <rPr>
        <b/>
        <sz val="16"/>
        <rFont val="Calibri"/>
        <family val="2"/>
      </rPr>
      <t>COMM. SEC.SCH.OKPOKO(BOYS')</t>
    </r>
  </si>
  <si>
    <r>
      <rPr>
        <b/>
        <sz val="16"/>
        <rFont val="Calibri"/>
        <family val="2"/>
      </rPr>
      <t>COMM.HIGH SEC.SCH.(CGSS) OKPOKO</t>
    </r>
  </si>
  <si>
    <r>
      <rPr>
        <b/>
        <sz val="16"/>
        <rFont val="Calibri"/>
        <family val="2"/>
      </rPr>
      <t>COMM. SEC. SCH. ATANI</t>
    </r>
  </si>
  <si>
    <r>
      <rPr>
        <b/>
        <sz val="16"/>
        <rFont val="Calibri"/>
        <family val="2"/>
      </rPr>
      <t xml:space="preserve"> </t>
    </r>
    <r>
      <rPr>
        <b/>
        <sz val="16"/>
        <rFont val="Calibri"/>
        <family val="2"/>
      </rPr>
      <t>GOVT TECH. COLLEGE. OSOMALA</t>
    </r>
    <r>
      <rPr>
        <b/>
        <sz val="16"/>
        <rFont val="Calibri"/>
        <family val="2"/>
      </rPr>
      <t xml:space="preserve">             </t>
    </r>
  </si>
  <si>
    <r>
      <rPr>
        <b/>
        <sz val="16"/>
        <rFont val="Calibri"/>
        <family val="2"/>
      </rPr>
      <t>COMM. SEC. SCH IYIOWA ODEKPE</t>
    </r>
  </si>
  <si>
    <r>
      <rPr>
        <b/>
        <sz val="16"/>
        <rFont val="Calibri"/>
        <family val="2"/>
      </rPr>
      <t>JOSEPHINE ODUAH MEMO.SEC.SCH. AKILI-OZIZOR</t>
    </r>
  </si>
  <si>
    <r>
      <rPr>
        <b/>
        <sz val="16"/>
        <rFont val="Calibri"/>
        <family val="2"/>
      </rPr>
      <t>ANTHONY OBAZE MEMO COMM SEC</t>
    </r>
    <r>
      <rPr>
        <b/>
        <sz val="16"/>
        <rFont val="Calibri"/>
        <family val="2"/>
      </rPr>
      <t xml:space="preserve">  </t>
    </r>
    <r>
      <rPr>
        <b/>
        <sz val="16"/>
        <rFont val="Calibri"/>
        <family val="2"/>
      </rPr>
      <t>SCH OCHUCHE</t>
    </r>
  </si>
  <si>
    <r>
      <rPr>
        <b/>
        <sz val="16"/>
        <color rgb="FFFF0000"/>
        <rFont val="Calibri"/>
        <family val="2"/>
      </rPr>
      <t>FR. JMHS AGULERI</t>
    </r>
  </si>
  <si>
    <r>
      <rPr>
        <b/>
        <sz val="16"/>
        <color rgb="FF000000"/>
        <rFont val="Calibri"/>
        <family val="2"/>
      </rPr>
      <t>CSS UMUOBA ANAM</t>
    </r>
  </si>
  <si>
    <r>
      <rPr>
        <b/>
        <sz val="16"/>
        <color rgb="FF000000"/>
        <rFont val="Calibri"/>
        <family val="2"/>
      </rPr>
      <t>JCMSS AGULERI</t>
    </r>
  </si>
  <si>
    <r>
      <rPr>
        <b/>
        <sz val="16"/>
        <color rgb="FF000000"/>
        <rFont val="Calibri"/>
        <family val="2"/>
      </rPr>
      <t>SMC UMUERI</t>
    </r>
  </si>
  <si>
    <r>
      <rPr>
        <b/>
        <sz val="16"/>
        <color rgb="FF000000"/>
        <rFont val="Calibri"/>
        <family val="2"/>
      </rPr>
      <t>CSS IFITE UMUERI</t>
    </r>
  </si>
  <si>
    <r>
      <rPr>
        <b/>
        <sz val="16"/>
        <rFont val="Calibri"/>
        <family val="2"/>
      </rPr>
      <t>GTC UMUERI</t>
    </r>
  </si>
  <si>
    <r>
      <rPr>
        <b/>
        <sz val="16"/>
        <color rgb="FF000000"/>
        <rFont val="Calibri"/>
        <family val="2"/>
      </rPr>
      <t>CSS NANDO</t>
    </r>
  </si>
  <si>
    <r>
      <rPr>
        <b/>
        <sz val="16"/>
        <color rgb="FF000000"/>
        <rFont val="Calibri"/>
        <family val="2"/>
      </rPr>
      <t>CHS IGBARIAM</t>
    </r>
  </si>
  <si>
    <r>
      <rPr>
        <b/>
        <sz val="16"/>
        <color rgb="FF000000"/>
        <rFont val="Calibri"/>
        <family val="2"/>
      </rPr>
      <t>CHS</t>
    </r>
    <r>
      <rPr>
        <b/>
        <sz val="16"/>
        <color rgb="FF000000"/>
        <rFont val="Calibri"/>
        <family val="2"/>
      </rPr>
      <t xml:space="preserve">  </t>
    </r>
    <r>
      <rPr>
        <b/>
        <sz val="16"/>
        <color rgb="FF000000"/>
        <rFont val="Calibri"/>
        <family val="2"/>
      </rPr>
      <t>NSUGBE</t>
    </r>
  </si>
  <si>
    <r>
      <rPr>
        <b/>
        <sz val="16"/>
        <color rgb="FF000000"/>
        <rFont val="Calibri"/>
        <family val="2"/>
      </rPr>
      <t>WOSS ENUGWU AGULERI</t>
    </r>
  </si>
  <si>
    <r>
      <rPr>
        <b/>
        <sz val="16"/>
        <color rgb="FF000000"/>
        <rFont val="Calibri"/>
        <family val="2"/>
      </rPr>
      <t>CMASS ENUGU-OTU</t>
    </r>
  </si>
  <si>
    <r>
      <rPr>
        <b/>
        <sz val="16"/>
        <rFont val="Calibri"/>
        <family val="2"/>
      </rPr>
      <t>CSS UMUEZE ANAM</t>
    </r>
  </si>
  <si>
    <r>
      <rPr>
        <b/>
        <sz val="16"/>
        <rFont val="Calibri"/>
        <family val="2"/>
      </rPr>
      <t>CSS IFITE ANAM MMIATA</t>
    </r>
  </si>
  <si>
    <r>
      <rPr>
        <b/>
        <sz val="16"/>
        <rFont val="Calibri"/>
        <family val="2"/>
      </rPr>
      <t>AHS OROMA ETITI</t>
    </r>
  </si>
  <si>
    <r>
      <rPr>
        <b/>
        <sz val="16"/>
        <color rgb="FF000000"/>
        <rFont val="Calibri"/>
        <family val="2"/>
      </rPr>
      <t>CKC UMUEM</t>
    </r>
  </si>
  <si>
    <r>
      <rPr>
        <b/>
        <sz val="16"/>
        <color rgb="FFFF0000"/>
        <rFont val="Calibri"/>
        <family val="2"/>
      </rPr>
      <t>UCSS INOMA AKATOR</t>
    </r>
  </si>
  <si>
    <r>
      <rPr>
        <b/>
        <sz val="16"/>
        <color rgb="FF000000"/>
        <rFont val="Calibri"/>
        <family val="2"/>
      </rPr>
      <t>CCSS NZAM</t>
    </r>
  </si>
  <si>
    <r>
      <rPr>
        <b/>
        <sz val="16"/>
        <rFont val="Calibri"/>
        <family val="2"/>
      </rPr>
      <t>CSS IGBEDOR</t>
    </r>
  </si>
  <si>
    <r>
      <rPr>
        <b/>
        <sz val="16"/>
        <color rgb="FFFF0000"/>
        <rFont val="Calibri"/>
        <family val="2"/>
      </rPr>
      <t>CSS OWELLE</t>
    </r>
  </si>
  <si>
    <r>
      <rPr>
        <b/>
        <sz val="16"/>
        <rFont val="Calibri"/>
        <family val="2"/>
      </rPr>
      <t>OGBE HIGH SCHOOL ANAKU</t>
    </r>
  </si>
  <si>
    <r>
      <rPr>
        <b/>
        <sz val="16"/>
        <color rgb="FF000000"/>
        <rFont val="Calibri"/>
        <family val="2"/>
      </rPr>
      <t>AMIKWE CSS OMOR</t>
    </r>
  </si>
  <si>
    <r>
      <rPr>
        <b/>
        <sz val="16"/>
        <color rgb="FF000000"/>
        <rFont val="Calibri"/>
        <family val="2"/>
      </rPr>
      <t>CSS OMOR</t>
    </r>
  </si>
  <si>
    <r>
      <rPr>
        <b/>
        <sz val="16"/>
        <color rgb="FFFF0000"/>
        <rFont val="Calibri"/>
        <family val="2"/>
      </rPr>
      <t>CSS IGBAKWU</t>
    </r>
  </si>
  <si>
    <r>
      <rPr>
        <b/>
        <sz val="16"/>
        <rFont val="Calibri"/>
        <family val="2"/>
      </rPr>
      <t>CSS IFITE OGWARI</t>
    </r>
  </si>
  <si>
    <r>
      <rPr>
        <b/>
        <sz val="16"/>
        <rFont val="Calibri"/>
        <family val="2"/>
      </rPr>
      <t>CSS UMUMBO</t>
    </r>
  </si>
  <si>
    <r>
      <rPr>
        <b/>
        <sz val="16"/>
        <rFont val="Calibri"/>
        <family val="2"/>
      </rPr>
      <t>RSS UMERUM</t>
    </r>
  </si>
  <si>
    <r>
      <rPr>
        <b/>
        <sz val="16"/>
        <rFont val="Calibri"/>
        <family val="2"/>
      </rPr>
      <t>USS OMASI</t>
    </r>
  </si>
  <si>
    <r>
      <rPr>
        <b/>
        <sz val="16"/>
        <rFont val="Calibri"/>
        <family val="2"/>
      </rPr>
      <t>CSS UMUEJE</t>
    </r>
  </si>
  <si>
    <t>F</t>
  </si>
  <si>
    <t>AGUATA L G A</t>
  </si>
  <si>
    <t>J S S 1</t>
  </si>
  <si>
    <t>J S S 2</t>
  </si>
  <si>
    <t>J S S 3</t>
  </si>
  <si>
    <t>S S S 1</t>
  </si>
  <si>
    <t>S S S 2</t>
  </si>
  <si>
    <t>S S S 3</t>
  </si>
  <si>
    <t>TOTAL</t>
  </si>
  <si>
    <t>TEACHERS</t>
  </si>
  <si>
    <t>NAME OF SCHOOL</t>
  </si>
  <si>
    <t>M</t>
  </si>
  <si>
    <t>T</t>
  </si>
  <si>
    <t>ST</t>
  </si>
  <si>
    <t>INDG.</t>
  </si>
  <si>
    <t>NON</t>
  </si>
  <si>
    <t>URBAN GIRLS'.SEC.SCH. EKWULOBIA</t>
  </si>
  <si>
    <t>GIRLS' .SEC. SCH. IGBOUKWU</t>
  </si>
  <si>
    <t>COMM.SEC. SCH. ISUOFIA</t>
  </si>
  <si>
    <t xml:space="preserve">AGUATA HIGH SCH.AGUATA </t>
  </si>
  <si>
    <t>GIRLS' HIGH SCHOOL UGA</t>
  </si>
  <si>
    <t>UGA BOYS' SEC. SCH UGA</t>
  </si>
  <si>
    <t>COMM. SEC. SCH. UGA</t>
  </si>
  <si>
    <t>PIONEER SEC. SCH. (GSS) UMUCHU</t>
  </si>
  <si>
    <t>COMM SEC.SCH. UMUCHU</t>
  </si>
  <si>
    <t>UMUCHU HIGH. SCH. UMUCHU</t>
  </si>
  <si>
    <t>GOVT. TECH. COLL. UMUCHU</t>
  </si>
  <si>
    <t>ST. PETER'S SEC. SCH. ACHINA</t>
  </si>
  <si>
    <t>COMM. SEC. SCH. ACHINA</t>
  </si>
  <si>
    <t>COMM. SEC. SCH. NKPOLOGWU</t>
  </si>
  <si>
    <t>COMM SEC. SCH. ORAERI</t>
  </si>
  <si>
    <t>COMM SEC. SCH. AGULUEZECHUKWU</t>
  </si>
  <si>
    <t>COMM SEC. SCH. AKPO</t>
  </si>
  <si>
    <t>CHRIST THE REDEEMER COLLEGE  AMESI</t>
  </si>
  <si>
    <t>COMM SEC. SCH. (BSS) IGBOUKWU</t>
  </si>
  <si>
    <t>COMM SEC. SCH. (BSS) EZINIFITE</t>
  </si>
  <si>
    <t>EZINIFITE HIGH SCHOOL EZINIFITE</t>
  </si>
  <si>
    <t>ORUMBA NORTH</t>
  </si>
  <si>
    <t>COMM. HIGH SCHOOL, NANKA</t>
  </si>
  <si>
    <t>COMM. SEC. SCH. NANKA</t>
  </si>
  <si>
    <t>COMM. SEC. SCH. OKO</t>
  </si>
  <si>
    <t>COMM. SEC. SCH. NDIKELIONWU</t>
  </si>
  <si>
    <t xml:space="preserve">COMM SEC. SCH. NDIOWU  </t>
  </si>
  <si>
    <t>COMM. SEC. SCH. UFUMA</t>
  </si>
  <si>
    <t>COMM. SEC. SCH. ENUGWUABOR UFUMA</t>
  </si>
  <si>
    <t>COMM.SEC. SCH. AWGBU</t>
  </si>
  <si>
    <t>COMM. HIGH.SCH. AWGBU</t>
  </si>
  <si>
    <t>AWGBU GRAMMAR SCH. AWGBU</t>
  </si>
  <si>
    <t>COMM SEC.SCH. AJALI</t>
  </si>
  <si>
    <t>COMM. SEC.SCH. OMOGHO</t>
  </si>
  <si>
    <t>COMM. SEC. SCH AWA</t>
  </si>
  <si>
    <t>COMM SEC SCH NDIUKWUENU</t>
  </si>
  <si>
    <t>COMM.SEC.SCH. OKPEZE</t>
  </si>
  <si>
    <t>COMM.SEC.SCH.NDIOKPALEKE</t>
  </si>
  <si>
    <t>ORUMBA SOUTH</t>
  </si>
  <si>
    <t>ALL SAINTS SEC.SCH. UMUNZE</t>
  </si>
  <si>
    <t>COMM. HIGH. SCH. UMUNZE</t>
  </si>
  <si>
    <t>GOVT TECHNICAL COLLEGE UMUNZE</t>
  </si>
  <si>
    <t>COMM. SEC. SCH. IHITE</t>
  </si>
  <si>
    <t>COMM. HIGH. SCH. NAWFIJA</t>
  </si>
  <si>
    <t>NEW BETHEL SEC. SCH. ISULO</t>
  </si>
  <si>
    <t>VICTORY HIGH. SCH. EZIRA</t>
  </si>
  <si>
    <t>PREMIER SEC. SCH. OGBUNKA (BSS)</t>
  </si>
  <si>
    <t>COMM. .SEC. SCH. OGBUNKA (GSS)</t>
  </si>
  <si>
    <t>UNION SEC.SCH. OWERE EZUKALA</t>
  </si>
  <si>
    <t>COMM. SEC.SCH. OWERE EZUKALA</t>
  </si>
  <si>
    <t>COMM. HIGH.SCH. OGBOJI</t>
  </si>
  <si>
    <t>UNION SEC.SCH. UMUOMAKU</t>
  </si>
  <si>
    <t>BASDEN MEMORIAL EDU. CENTER ISULO</t>
  </si>
  <si>
    <t>COMMUNITY SECONADRY  SCHOOL, EZIAGU</t>
  </si>
  <si>
    <t>ANAOCHA LGA</t>
  </si>
  <si>
    <t>ROSA MYSTICA HIGH SCHOOL AGULU</t>
  </si>
  <si>
    <t>FLORA A.M.C SEC.SCH. NENI</t>
  </si>
  <si>
    <t>LORETTO SPE. SEC. SCH. ADAZI NNUKWU</t>
  </si>
  <si>
    <t>COMM. SEC. SCH. OBELEDU</t>
  </si>
  <si>
    <t>COMM. SEC. SCH. ICHIDA</t>
  </si>
  <si>
    <t>COMM. HIGH SCH. AGULUZIGBO</t>
  </si>
  <si>
    <t>BUBENDORFF M.G.S. ADAZI-NNUKWU</t>
  </si>
  <si>
    <t>COMM. SEC. SCH. AGULU</t>
  </si>
  <si>
    <t>OJIAKO MEM0 GRAM SCH. ADAZI-ANI</t>
  </si>
  <si>
    <t>UNION SEC. SCH. AGULU</t>
  </si>
  <si>
    <t>COMM. HIGH SCH. ADAZI</t>
  </si>
  <si>
    <t>COMM HIGH SCH. AKWAEZE</t>
  </si>
  <si>
    <t>AGULU GRAM. SCH. AGULU</t>
  </si>
  <si>
    <t>LAKE-CITY SEC. SCH. NRI</t>
  </si>
  <si>
    <t>COMM. SEC. SCH. ADAZI-NNUKWU</t>
  </si>
  <si>
    <t>REGAL SEC. SCH. NRI</t>
  </si>
  <si>
    <t>AWKA NORTH</t>
  </si>
  <si>
    <t>COMM. SEC. SCH. AMANSEA</t>
  </si>
  <si>
    <t>COMM. SEC. SCH. ISUANIOCHA</t>
  </si>
  <si>
    <t>COMM. SEC. SCH. EBENEBE</t>
  </si>
  <si>
    <t>COMM. SEC. SCH. MGBAKWU</t>
  </si>
  <si>
    <t>COMM. SEC. SCH. ACHALLA</t>
  </si>
  <si>
    <t>COMM. SEC. SCH. AMANUKE</t>
  </si>
  <si>
    <t>COMM. SEC. SCH. URUM</t>
  </si>
  <si>
    <t>COMMUNITY HIGH SCHOOL, UGBENU</t>
  </si>
  <si>
    <t>UNITY COLLEGE UMUJI, EBENEBE</t>
  </si>
  <si>
    <t>COMM. SEC. SCH. AWBA OFEMILI</t>
  </si>
  <si>
    <t>AWKA SOUTH LGA</t>
  </si>
  <si>
    <t>ST. JOHN SEC. SCH. AWKA</t>
  </si>
  <si>
    <t>IGWEBUIKE GRAMMER SCH. AWKA</t>
  </si>
  <si>
    <t>GIRLS' SEC. SCH. AWKA</t>
  </si>
  <si>
    <t>COMM. SEC. SCH UMUOKPU</t>
  </si>
  <si>
    <t>CAPITAL CITY SEC. SCH. AWKA</t>
  </si>
  <si>
    <t>KENNETH DIKE MEM. SEC. SCH. AWKA</t>
  </si>
  <si>
    <t>EZI-AWKA COMM. SEC. SCH. AWKA</t>
  </si>
  <si>
    <t>COMM. SEC. SCH. OKPUNO</t>
  </si>
  <si>
    <t>NNEOMA COMM. SEC. SCH. NIBO</t>
  </si>
  <si>
    <t>COMM. SEC. SCH. MBAUKWU</t>
  </si>
  <si>
    <t>EMEKA AGHASILI HIGH SCH. NISE</t>
  </si>
  <si>
    <t>COMM. SEC. SCH. AGULU AWKA</t>
  </si>
  <si>
    <t>COMM. SEC. SCH. AMAWBIA</t>
  </si>
  <si>
    <t>UNION SEC. SCH. UMUAWULU</t>
  </si>
  <si>
    <t>UNION SEC. SCH. AMAWBIA</t>
  </si>
  <si>
    <t>EZEIKE HIGH SCH. NIBO</t>
  </si>
  <si>
    <t>HOLY CROSS HIGH SCH. UMUAWULU/MBAUKWU</t>
  </si>
  <si>
    <t>COMM. SEC. SCH. ISIAGU</t>
  </si>
  <si>
    <t>STATE MODEL JUNIOR SEC. SCH., IYIAGU II AWKA</t>
  </si>
  <si>
    <t>DUNUKOFIA LGA</t>
  </si>
  <si>
    <t>ST. MARY'S HIGH SCH. IFITEDUNU</t>
  </si>
  <si>
    <t>WALTER EZE MEMO SEC. SCH. UKPO</t>
  </si>
  <si>
    <t>COMM SEC. SCH. UMUNNACHI</t>
  </si>
  <si>
    <t>NNEAMAKA SEC. SCH. IFITEDUNU</t>
  </si>
  <si>
    <t>COMM. SEC. SCH. UKPO</t>
  </si>
  <si>
    <t>COMM. SEC. SCH. UKWULU</t>
  </si>
  <si>
    <t>ST. KIZITO GIRLS' SEC. SCH. UMUDIOKA</t>
  </si>
  <si>
    <t>COMM. HIGH SCH. NAWGU</t>
  </si>
  <si>
    <t>NJIKOKA LGA</t>
  </si>
  <si>
    <t>COMP. SEC. SCH. NAWFIA</t>
  </si>
  <si>
    <t>GIRLS' SEC. SCH. ABAGANA</t>
  </si>
  <si>
    <t>NNAMDI AZIK. SEC. SCH. ABAGANA</t>
  </si>
  <si>
    <t>IDE SEC. SCH. ENUGWU-UKWU</t>
  </si>
  <si>
    <t>ST. MICHEAL'S MOD.COMP.SEC.SCH. NIMO</t>
  </si>
  <si>
    <t>COMM  SEC  SCH  NIMO</t>
  </si>
  <si>
    <t>COMM. SEC. SCH. ABBA</t>
  </si>
  <si>
    <t>GOVT. TECH. COLLEGE ENUGWU-AGIDI</t>
  </si>
  <si>
    <t>COMM. SEC. SCH. ENUGWU-AGIDI</t>
  </si>
  <si>
    <t>NAWFIA COMM. SEC. SCH. NAWFIA</t>
  </si>
  <si>
    <t>OKUTALUKWE COMM. SEC. SCH. E/UKWU</t>
  </si>
  <si>
    <t>NNEWI NORTH</t>
  </si>
  <si>
    <t>GIRLS' SEC. SCHOOL, NNEWI</t>
  </si>
  <si>
    <t>M. REGINA MOD. COM. SEC. SCH. NNEWI</t>
  </si>
  <si>
    <t>NNEWI HIGH SCHOOL, NNEWI</t>
  </si>
  <si>
    <t>NIGERIAN SC. &amp; TECH. COLLEGE, NNEWI</t>
  </si>
  <si>
    <t>OKONGWU MEM. GRAM. SCH, NNEWI</t>
  </si>
  <si>
    <t>WOMEN ED. CENTRE, NNEWI</t>
  </si>
  <si>
    <t>COMM. SEC. SCH. NNEWICHI, NNEWI</t>
  </si>
  <si>
    <t>AKABOEZEM COMM.SCH, URUAGU NNEWI</t>
  </si>
  <si>
    <t xml:space="preserve">NNEWI SOUTH </t>
  </si>
  <si>
    <t>UNION SEC. SCHOOL, (BSS) AMICHI</t>
  </si>
  <si>
    <t>COMMUNITY SEC. SCHOOL, AMICHI</t>
  </si>
  <si>
    <t>COMMUNITY SEC. SCH.  AZIGBO</t>
  </si>
  <si>
    <t>COMMUNITY SEC. SCHOOL, EBENATOR</t>
  </si>
  <si>
    <t>COMMUNITY SEC. SCHOOL, EKWULUMILI</t>
  </si>
  <si>
    <t>COMMUNITY HIGH SCHOOL, EZINIFITE</t>
  </si>
  <si>
    <t>AWO-EZIMUZO CSS, EZINIFITE</t>
  </si>
  <si>
    <t xml:space="preserve">OSUMENYI HIGH SCH OSUMENYI </t>
  </si>
  <si>
    <t>COMMUNITY HIGH SCHOOL, OSUMENYI</t>
  </si>
  <si>
    <t>COMMUNITY SEC. SCHOOL, UKPOR</t>
  </si>
  <si>
    <t>UKPOR HIGH SCHOOL, UKPOR</t>
  </si>
  <si>
    <t>UNUBI HIGH SCHOOL UNUBI</t>
  </si>
  <si>
    <t>ST. JOHNBOSCO (PREMIER) SEC. SCH. UNUBI</t>
  </si>
  <si>
    <t>UTUH HIGH SCHOOL, UTUH</t>
  </si>
  <si>
    <t>GOVT. TECHNICAL COLLEGE, UTUH</t>
  </si>
  <si>
    <t>COMMUNITY SEC. SCHOOL, AKWAIHEDI</t>
  </si>
  <si>
    <t>EBE UNITY COLLEGE UKPOR</t>
  </si>
  <si>
    <t>EKWUSIGO L.G.A.</t>
  </si>
  <si>
    <t xml:space="preserve">UNION SEC. SCHOOL, ICHI </t>
  </si>
  <si>
    <t>COMMUNITY SEC. SCHOOL, IHEMBOSI</t>
  </si>
  <si>
    <t>BOYS' SEC. SCHOOL, ORAIFITE</t>
  </si>
  <si>
    <t>COMMUNITY (GIRLS') SEC. SCHOOL, ORAIFITE</t>
  </si>
  <si>
    <t>COMMUNITY SEC. SCHOOL, OZUBULU</t>
  </si>
  <si>
    <t>CATH. GIRLS' SEC. SCHOOL, OZUBULU</t>
  </si>
  <si>
    <t>ZIXTON SEC. SCHOOL, OZUBULU</t>
  </si>
  <si>
    <t>GOVT. TECHNICAL COLLEGE, ICHI</t>
  </si>
  <si>
    <t>IHIALA L.G.A.</t>
  </si>
  <si>
    <t>COMMUNITY HIGH SCHOOL, AMORKA</t>
  </si>
  <si>
    <t>COMMUNITY SEC. SCHOOL, AZIA</t>
  </si>
  <si>
    <t>ST. ANTHONY'S SEC. SCHOOL, AZIA</t>
  </si>
  <si>
    <t>ABBOT GIRLS SEC. SCHOOL, IHIALA</t>
  </si>
  <si>
    <t>ABBOT BOY'S SEC. SCHOOL, IHIALA</t>
  </si>
  <si>
    <t>G.T.C. IHIALA</t>
  </si>
  <si>
    <t>ST. JUDE SEC. SCHOOL, IHIALA</t>
  </si>
  <si>
    <t>COMMUNITY SEC. SCHOOL, ISSEKE</t>
  </si>
  <si>
    <t>COMMUNITY SEC. SCHOOL, LILU</t>
  </si>
  <si>
    <t>ST. AUGUSTINE COLLEGE  MBOSI</t>
  </si>
  <si>
    <t>UNION SEC. SCHOOL, OKIJA</t>
  </si>
  <si>
    <t>OKIJA GRAM. SCHOOL, OKIJA</t>
  </si>
  <si>
    <t>COMMUNITY SEC. SCH, ORSUMUOGHU</t>
  </si>
  <si>
    <t>ULI HIGH SCHOOL, ULI</t>
  </si>
  <si>
    <t>COMMUNITY HIGH SCH. UMUOMA-ULI</t>
  </si>
  <si>
    <t>ASSUMPTION GIRLS ULI</t>
  </si>
  <si>
    <t>COMM. SEC. SCH. OGWUANIOCHA</t>
  </si>
  <si>
    <t>IDEMILI NORTH L.G.A</t>
  </si>
  <si>
    <t>NOTRE DAME HIGH SCHOOL ABATETE</t>
  </si>
  <si>
    <t>ABANNA GIRLS SEC. SCH. ABATETE</t>
  </si>
  <si>
    <t>COMM. SEC. SCH. EZIOWELLE</t>
  </si>
  <si>
    <t>COMM. SEC. SCH. IDEANI</t>
  </si>
  <si>
    <t>GOVT. TECHNICAL COLLEGE NKPOR</t>
  </si>
  <si>
    <t>URBAN SEC. SCH. NKPOR</t>
  </si>
  <si>
    <t>COMM. SEC. SCH. OBOSI</t>
  </si>
  <si>
    <t>UNION SEC. SCH. OBOSI (G.S.S. OBOSI)</t>
  </si>
  <si>
    <t>ARCHB. HEEREY TECH. COL.  OGIDI</t>
  </si>
  <si>
    <t>GIRLS' SEC. SCH. OGIDI (A.G.S.S. OGIDI)</t>
  </si>
  <si>
    <t>COMM. SEC. SCH. ORAUKWU</t>
  </si>
  <si>
    <t>ORAUKWU GRAMMAR SCH. ORAUKWU</t>
  </si>
  <si>
    <t>COMM. SEC. SCH. UKE</t>
  </si>
  <si>
    <t>MATER AMABILIS SEC. SCH. UMUOJI</t>
  </si>
  <si>
    <t>COMM. SEC. SCH. UMUOJI</t>
  </si>
  <si>
    <t>AWADA SEC. SCH. AWADA</t>
  </si>
  <si>
    <t>IDEMILI SOUTH L.G.A</t>
  </si>
  <si>
    <t>ST. JOHN SEC. SCH. AKWA-UKWU</t>
  </si>
  <si>
    <t>ST. JOHN'S SCIENCE &amp; TEC. ALOR</t>
  </si>
  <si>
    <t>GIRLS' SEC. SCH. ALOR</t>
  </si>
  <si>
    <t>GIRLS' SEC. SCH. AWKA-ETITI</t>
  </si>
  <si>
    <t>ST. JOSEPH'S SEC. SCH. AWKA-ETITI</t>
  </si>
  <si>
    <t>OUR LADY'S SEC. SCH. NNOBI</t>
  </si>
  <si>
    <t>COMM. SEC. SCH. NNOBI</t>
  </si>
  <si>
    <t>COMM. SEC. SCH. NNOKWA</t>
  </si>
  <si>
    <t>UNITY SEC. SCH. NNOKWA</t>
  </si>
  <si>
    <t>GIRLS' SEC. SCH. OBA</t>
  </si>
  <si>
    <t>MERCHANT OF LIGHT SEC. SCH. OBA</t>
  </si>
  <si>
    <t>BOYS' SEC. SCH. OJOTO</t>
  </si>
  <si>
    <t>GIRLS' SEC. SCH. OJOTO</t>
  </si>
  <si>
    <t>OYI L.G.A</t>
  </si>
  <si>
    <t>COMM. SEC. SCH. AWKUZU</t>
  </si>
  <si>
    <t>UNITY SEC. SCH. AWKUZU</t>
  </si>
  <si>
    <t>MODEL COMPR. SEC. SCH. N/EZUNAKA</t>
  </si>
  <si>
    <t>COMM. HIGH SCH. N/EZUNAKA</t>
  </si>
  <si>
    <t>COMM. HIGH SCH. NTEJE</t>
  </si>
  <si>
    <t>NEW ERA SEC. SCH. NTEJE</t>
  </si>
  <si>
    <t>CAVE CITY SEC. SCH. OGBUNIKE</t>
  </si>
  <si>
    <t>ST. MONICA'S COLLEGE OGBUNIKE</t>
  </si>
  <si>
    <t>PROGRESSIVE SEC. SCH. UMUNYA</t>
  </si>
  <si>
    <t>COMM. SEC. SCH. UMUNYA</t>
  </si>
  <si>
    <t>WOMEN EDUCATION CENTRE AWKUZU</t>
  </si>
  <si>
    <t>ONITSHA NORTH</t>
  </si>
  <si>
    <t>DENNIS MEMO. GRAM. SCHOOL</t>
  </si>
  <si>
    <t>ANGLICAN GIRLS' SEC. SCH. ONITSHA</t>
  </si>
  <si>
    <t>QUEEN OF ROSARY SCHOOL</t>
  </si>
  <si>
    <t>ADO GIRLS' SEC. SCHOOL</t>
  </si>
  <si>
    <t>ST. CHARLES SEC. SCHOOL</t>
  </si>
  <si>
    <t>EASTERN ACADEMY</t>
  </si>
  <si>
    <t>NEW ERA GIRLS' SEC. SCH.</t>
  </si>
  <si>
    <t>INLAND GIRLS' SEC. SCHOOL</t>
  </si>
  <si>
    <t>WASHINGTON MEM. SEC. SCH.</t>
  </si>
  <si>
    <t>PATTERSON MEMO GRAM SCHOOL OSHA</t>
  </si>
  <si>
    <t>PRINCE MEM. SEC. ONITSHA</t>
  </si>
  <si>
    <t>ARMY DAY SEC. SCHOOL</t>
  </si>
  <si>
    <t>METROPOLITAN COLLEGE</t>
  </si>
  <si>
    <t>GOVT. TECH. COLLEGE</t>
  </si>
  <si>
    <t>ONITSHA HIGH SCHOOL</t>
  </si>
  <si>
    <t xml:space="preserve">OUR LADY'S HIGH SCHOOL, </t>
  </si>
  <si>
    <t>ONITSHA SOUTH LGA</t>
  </si>
  <si>
    <t>CHRIST THE KING COLLEGE</t>
  </si>
  <si>
    <t>MODEBE MEM. SEC. SCHOOL</t>
  </si>
  <si>
    <t>METU MEM.SEC.SCHOOL</t>
  </si>
  <si>
    <t>URBAN GIRLS SEC SCHOOL</t>
  </si>
  <si>
    <t>URBAN BOYS SEC SCHOOL</t>
  </si>
  <si>
    <t>SPECIAL SEC SCH FOR THE DEAF</t>
  </si>
  <si>
    <t>OGBARU LGA</t>
  </si>
  <si>
    <t>OGBARU HIGH. SCH.OGBAKUBA</t>
  </si>
  <si>
    <t>IDEKE GRAMM.SEC. SCH IDEKE</t>
  </si>
  <si>
    <t>UNITY COMP.GIRLS HIGH SCH. OKPOKO</t>
  </si>
  <si>
    <t>COMM. SEC.SCH.OKPOKO(BOYS')</t>
  </si>
  <si>
    <t>COMM.HIGH SEC.SCH.(CGSS) OKPOKO</t>
  </si>
  <si>
    <t>COMM. SEC. SCH. ATANI</t>
  </si>
  <si>
    <t xml:space="preserve"> GOVT TECH. COLLEGE. OSOMALA             </t>
  </si>
  <si>
    <t>COMM. SEC. SCH IYIOWA ODEKPE</t>
  </si>
  <si>
    <t>JOSEPHINE ODUAH MEMO.SEC.SCH. AKILI-OZIZOR</t>
  </si>
  <si>
    <t>ANTHONY OBAZE MEMO COMM SEC  SCH OCHUCHE</t>
  </si>
  <si>
    <t>ANAMBRA EAST</t>
  </si>
  <si>
    <t>FR. JMHS AGULERI</t>
  </si>
  <si>
    <t>CSS UMUOBA ANAM</t>
  </si>
  <si>
    <t>JCMSS AGULERI</t>
  </si>
  <si>
    <t>SMC UMUERI</t>
  </si>
  <si>
    <t>CSS IFITE UMUERI</t>
  </si>
  <si>
    <t>GTC UMUERI</t>
  </si>
  <si>
    <t>CSS NANDO</t>
  </si>
  <si>
    <t>CHS IGBARIAM</t>
  </si>
  <si>
    <t>CHS  NSUGBE</t>
  </si>
  <si>
    <t>WOSS ENUGWU AGULERI</t>
  </si>
  <si>
    <t>CMASS ENUGU-OTU</t>
  </si>
  <si>
    <t>ANAMBRA WEST</t>
  </si>
  <si>
    <t>CSS UMUEZE ANAM</t>
  </si>
  <si>
    <t>CSS IFITE ANAM MMIATA</t>
  </si>
  <si>
    <t>AHS OROMA ETITI</t>
  </si>
  <si>
    <t>CKC UMUEM</t>
  </si>
  <si>
    <t>UCSS INOMA AKATOR</t>
  </si>
  <si>
    <t>CCSS NZAM</t>
  </si>
  <si>
    <t>CSS IGBEDOR</t>
  </si>
  <si>
    <t>CSS OWELLE</t>
  </si>
  <si>
    <t>AYAMELUM</t>
  </si>
  <si>
    <t>OGBE HIGH SCHOOL ANAKU</t>
  </si>
  <si>
    <t>AMIKWE CSS OMOR</t>
  </si>
  <si>
    <t>CSS OMOR</t>
  </si>
  <si>
    <t>CSS IGBAKWU</t>
  </si>
  <si>
    <t>CSS IFITE OGWARI</t>
  </si>
  <si>
    <t>CSS UMUMBO</t>
  </si>
  <si>
    <t>RSS UMERUM</t>
  </si>
  <si>
    <t>USS OMASI</t>
  </si>
  <si>
    <t>CSS UMUEJE</t>
  </si>
  <si>
    <t>LGAS</t>
  </si>
  <si>
    <t>S/N</t>
  </si>
  <si>
    <t>AGUATA TOTAL</t>
  </si>
  <si>
    <t>ANAMBRA EAST TOTAL</t>
  </si>
  <si>
    <t>ANAMBRA WEST TOTAL</t>
  </si>
  <si>
    <t>ANAOCHA TOTAL</t>
  </si>
  <si>
    <t>AWKA NORTH TOTAL</t>
  </si>
  <si>
    <t>AWKA SOUTH TOTAL</t>
  </si>
  <si>
    <t>AYAMELUM TOTAL</t>
  </si>
  <si>
    <t>DUNUKOFIA TOTAL</t>
  </si>
  <si>
    <t>EKWUSIGO TOTAL</t>
  </si>
  <si>
    <t>IDEMILI NORTH TOTAL</t>
  </si>
  <si>
    <t>IDEMILI SOUTH TOTAL</t>
  </si>
  <si>
    <t>IHIALA TOTAL</t>
  </si>
  <si>
    <t>NJIKOKA TOTAL</t>
  </si>
  <si>
    <t>NNEWI NORTH TOTAL</t>
  </si>
  <si>
    <t>NNEWI SOUTH TOTAL</t>
  </si>
  <si>
    <t>OGBARU</t>
  </si>
  <si>
    <t>ONITSHA SOUTH</t>
  </si>
  <si>
    <t>ORUMBA NORTH TOTAL</t>
  </si>
  <si>
    <t>ORUMBA SOUTH TOTAL</t>
  </si>
  <si>
    <t>OYI TOTAL</t>
  </si>
  <si>
    <t>OVERALL TOTAL</t>
  </si>
  <si>
    <t>L G A</t>
  </si>
  <si>
    <t>50</t>
  </si>
  <si>
    <t>6</t>
  </si>
  <si>
    <t>10</t>
  </si>
  <si>
    <t>25</t>
  </si>
  <si>
    <t>2</t>
  </si>
  <si>
    <t>83</t>
  </si>
  <si>
    <t>64</t>
  </si>
  <si>
    <t>78</t>
  </si>
  <si>
    <t>65</t>
  </si>
  <si>
    <t>43</t>
  </si>
  <si>
    <t>1</t>
  </si>
  <si>
    <t>17</t>
  </si>
  <si>
    <t>7</t>
  </si>
  <si>
    <t>46</t>
  </si>
  <si>
    <t>LGA</t>
  </si>
  <si>
    <t>SCHOOL</t>
  </si>
  <si>
    <t>JSS1_M</t>
  </si>
  <si>
    <t>JSS1_F</t>
  </si>
  <si>
    <t>JSS1_ST</t>
  </si>
  <si>
    <t>JSS2_M</t>
  </si>
  <si>
    <t>JSS2_F</t>
  </si>
  <si>
    <t>JSS2_ST</t>
  </si>
  <si>
    <t>JSS3_M</t>
  </si>
  <si>
    <t>JSS3_F</t>
  </si>
  <si>
    <t>JSS3_ST</t>
  </si>
  <si>
    <t>SSS1_M</t>
  </si>
  <si>
    <t>SSS1_F</t>
  </si>
  <si>
    <t>SSS1_ST</t>
  </si>
  <si>
    <t>SSS2_M</t>
  </si>
  <si>
    <t>SSS2_F</t>
  </si>
  <si>
    <t>SSS2_ST</t>
  </si>
  <si>
    <t>SSS3_M</t>
  </si>
  <si>
    <t>SSS3_F</t>
  </si>
  <si>
    <t>SSS3_ST</t>
  </si>
  <si>
    <t>TOTAL_M</t>
  </si>
  <si>
    <t>TOTAL_F</t>
  </si>
  <si>
    <t>TOTAL_ST</t>
  </si>
  <si>
    <t>TEACHER_M</t>
  </si>
  <si>
    <t>TEACHER_F</t>
  </si>
  <si>
    <t>AGUATA</t>
  </si>
  <si>
    <t>ANAOCHA</t>
  </si>
  <si>
    <t>AWKA SOUTH</t>
  </si>
  <si>
    <t>DUNUKOFIA</t>
  </si>
  <si>
    <t>NJIKOKA</t>
  </si>
  <si>
    <t>EKWUSIGO</t>
  </si>
  <si>
    <t>IDEMILI NORTH</t>
  </si>
  <si>
    <t>IDEMILI SOUTH</t>
  </si>
  <si>
    <t>OYI</t>
  </si>
  <si>
    <t>ABIA</t>
  </si>
  <si>
    <t>ADAMAWA</t>
  </si>
  <si>
    <t>AKWA IBOM</t>
  </si>
  <si>
    <t>BAUCHI</t>
  </si>
  <si>
    <t>BAYELSA</t>
  </si>
  <si>
    <t>BENUE</t>
  </si>
  <si>
    <t>BORNO</t>
  </si>
  <si>
    <t>CROSS RIVER</t>
  </si>
  <si>
    <t>DELTA</t>
  </si>
  <si>
    <t>EBONYI</t>
  </si>
  <si>
    <t>EKITI</t>
  </si>
  <si>
    <t>ENUGU</t>
  </si>
  <si>
    <t>GOMBE</t>
  </si>
  <si>
    <t>JIGAWA</t>
  </si>
  <si>
    <t>KADUNA</t>
  </si>
  <si>
    <t>KANO</t>
  </si>
  <si>
    <t>KATSINA</t>
  </si>
  <si>
    <t>KEBBI</t>
  </si>
  <si>
    <t>KWARA</t>
  </si>
  <si>
    <t>LAGOS</t>
  </si>
  <si>
    <t>NASARAWA</t>
  </si>
  <si>
    <t>NIGER</t>
  </si>
  <si>
    <t>ONDO</t>
  </si>
  <si>
    <t>PLATEAU</t>
  </si>
  <si>
    <t>RIVERS</t>
  </si>
  <si>
    <t>SOKOTO</t>
  </si>
  <si>
    <t>TARABA</t>
  </si>
  <si>
    <t>YOBE</t>
  </si>
  <si>
    <t>ZAMFARA</t>
  </si>
  <si>
    <t>FOREIGN</t>
  </si>
  <si>
    <t>COUNTRY</t>
  </si>
  <si>
    <t>NNEWI SOUTH</t>
  </si>
  <si>
    <t>IHIALA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</si>
</sst>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42" x14ac:knownFonts="1">
    <font>
      <sz val="11"/>
      <color theme="1"/>
      <name val="Calibri"/>
      <family val="2"/>
      <charset val="1"/>
      <scheme val="minor"/>
    </font>
    <font>
      <b/>
      <sz val="16"/>
      <color rgb="FF000000"/>
      <name val="Calibri"/>
      <family val="2"/>
    </font>
    <font>
      <b/>
      <sz val="16"/>
      <color rgb="FFFF0000"/>
      <name val="Calibri"/>
      <family val="2"/>
    </font>
    <font>
      <b/>
      <sz val="16"/>
      <name val="Calibri"/>
      <family val="2"/>
    </font>
    <font>
      <b/>
      <sz val="16"/>
      <color rgb="FF000000"/>
      <name val="Calibri"/>
      <family val="2"/>
      <scheme val="minor"/>
    </font>
    <font>
      <sz val="16"/>
      <color rgb="FF000000"/>
      <name val="Calibri"/>
      <family val="2"/>
      <scheme val="minor"/>
    </font>
    <font>
      <sz val="16"/>
      <name val="Calibri"/>
      <family val="2"/>
      <scheme val="minor"/>
    </font>
    <font>
      <b/>
      <sz val="16"/>
      <color rgb="FFFF0000"/>
      <name val="Calibri"/>
      <family val="2"/>
      <scheme val="minor"/>
    </font>
    <font>
      <b/>
      <sz val="16"/>
      <name val="Calibri"/>
      <family val="2"/>
      <scheme val="minor"/>
    </font>
    <font>
      <b/>
      <sz val="14"/>
      <name val="Calibri"/>
      <family val="2"/>
      <scheme val="minor"/>
    </font>
    <font>
      <sz val="16"/>
      <color rgb="FFFF0000"/>
      <name val="Calibri"/>
      <family val="2"/>
      <scheme val="minor"/>
    </font>
    <font>
      <b/>
      <sz val="16"/>
      <name val="Calibri"/>
      <family val="2"/>
      <charset val="1"/>
      <scheme val="minor"/>
    </font>
    <font>
      <b/>
      <sz val="16"/>
      <name val="Calibri"/>
      <family val="2"/>
      <charset val="1"/>
    </font>
    <font>
      <sz val="11"/>
      <name val="Calibri"/>
      <family val="2"/>
      <charset val="1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  <charset val="1"/>
      <scheme val="minor"/>
    </font>
    <font>
      <sz val="16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6"/>
      <color theme="1"/>
      <name val="Calibri"/>
      <family val="2"/>
      <charset val="1"/>
      <scheme val="minor"/>
    </font>
    <font>
      <b/>
      <sz val="11"/>
      <color theme="1"/>
      <name val="Calibri"/>
      <family val="2"/>
      <scheme val="minor"/>
    </font>
    <font>
      <sz val="14"/>
      <color rgb="FF00000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6"/>
      <color rgb="FF00B050"/>
      <name val="Calibri"/>
      <family val="2"/>
      <scheme val="minor"/>
    </font>
    <font>
      <b/>
      <sz val="16"/>
      <color rgb="FF00B050"/>
      <name val="Calibri"/>
      <family val="2"/>
    </font>
    <font>
      <sz val="16"/>
      <color rgb="FF00B050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4"/>
      <color rgb="FF000000"/>
      <name val="Calibri"/>
      <family val="2"/>
      <scheme val="minor"/>
    </font>
    <font>
      <sz val="14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rgb="FFFF0000"/>
      <name val="Calibri"/>
      <family val="2"/>
      <scheme val="minor"/>
    </font>
    <font>
      <i/>
      <sz val="14"/>
      <color rgb="FF000000"/>
      <name val="Calibri"/>
      <family val="2"/>
      <scheme val="minor"/>
    </font>
    <font>
      <sz val="14"/>
      <color indexed="8"/>
      <name val="Calibri"/>
      <family val="2"/>
      <scheme val="minor"/>
    </font>
    <font>
      <b/>
      <sz val="16"/>
      <color rgb="FF000000"/>
      <name val="Calibri"/>
      <family val="2"/>
      <charset val="1"/>
      <scheme val="minor"/>
    </font>
    <font>
      <b/>
      <sz val="16"/>
      <color theme="1"/>
      <name val="Calibri"/>
      <family val="2"/>
      <charset val="1"/>
      <scheme val="minor"/>
    </font>
    <font>
      <b/>
      <sz val="16"/>
      <color rgb="FF000000"/>
      <name val="Calibri"/>
      <family val="2"/>
      <charset val="1"/>
    </font>
    <font>
      <b/>
      <sz val="16"/>
      <color indexed="8"/>
      <name val="Calibri"/>
      <family val="2"/>
      <charset val="1"/>
    </font>
    <font>
      <sz val="24"/>
      <color rgb="FFFF0000"/>
      <name val="Calibri"/>
      <family val="2"/>
      <scheme val="minor"/>
    </font>
    <font>
      <sz val="28"/>
      <color rgb="FFFF0000"/>
      <name val="Calibri"/>
      <family val="2"/>
      <scheme val="minor"/>
    </font>
    <font>
      <sz val="28"/>
      <color theme="1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D0CECE"/>
        <bgColor rgb="FF000000"/>
      </patternFill>
    </fill>
    <fill>
      <patternFill patternType="solid">
        <fgColor rgb="FF00B0F0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808080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D9D9D9"/>
        <bgColor rgb="FF000000"/>
      </patternFill>
    </fill>
    <fill>
      <patternFill patternType="solid">
        <fgColor theme="0"/>
        <bgColor rgb="FF000000"/>
      </patternFill>
    </fill>
    <fill>
      <patternFill patternType="solid">
        <fgColor rgb="FFFFFFFF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rgb="FF000000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1" tint="0.499984740745262"/>
        <bgColor rgb="FF000000"/>
      </patternFill>
    </fill>
    <fill>
      <patternFill patternType="solid">
        <fgColor rgb="FF00B0F0"/>
        <bgColor indexed="64"/>
      </patternFill>
    </fill>
    <fill>
      <patternFill patternType="solid">
        <fgColor rgb="FF808080"/>
        <bgColor indexed="64"/>
      </patternFill>
    </fill>
  </fills>
  <borders count="25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B4B5BB"/>
      </left>
      <right style="thin">
        <color rgb="FFB4B5BB"/>
      </right>
      <top style="thin">
        <color rgb="FFB4B5BB"/>
      </top>
      <bottom style="thin">
        <color rgb="FFB4B5BB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auto="1"/>
      </right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0" fontId="15" fillId="0" borderId="0"/>
    <xf numFmtId="0" fontId="19" fillId="0" borderId="2" applyFont="0" applyAlignment="0">
      <alignment horizontal="center"/>
    </xf>
    <xf numFmtId="0" fontId="21" fillId="0" borderId="2" applyFont="0" applyAlignment="0">
      <alignment horizontal="center"/>
    </xf>
    <xf numFmtId="43" fontId="15" fillId="0" borderId="0" applyFont="0" applyFill="0" applyBorder="0" applyAlignment="0" applyProtection="0"/>
  </cellStyleXfs>
  <cellXfs count="322">
    <xf numFmtId="0" fontId="0" fillId="0" borderId="0" xfId="0"/>
    <xf numFmtId="0" fontId="1" fillId="5" borderId="4" xfId="0" applyFont="1" applyFill="1" applyBorder="1" applyAlignment="1">
      <alignment horizontal="center"/>
    </xf>
    <xf numFmtId="0" fontId="1" fillId="5" borderId="5" xfId="0" applyFont="1" applyFill="1" applyBorder="1" applyAlignment="1">
      <alignment horizontal="center"/>
    </xf>
    <xf numFmtId="0" fontId="4" fillId="5" borderId="5" xfId="0" applyFont="1" applyFill="1" applyBorder="1" applyAlignment="1">
      <alignment horizontal="center"/>
    </xf>
    <xf numFmtId="0" fontId="11" fillId="0" borderId="0" xfId="0" applyFont="1" applyAlignment="1">
      <alignment horizontal="center"/>
    </xf>
    <xf numFmtId="0" fontId="11" fillId="0" borderId="6" xfId="0" applyFont="1" applyBorder="1" applyAlignment="1">
      <alignment horizontal="center"/>
    </xf>
    <xf numFmtId="0" fontId="13" fillId="0" borderId="0" xfId="0" applyFont="1"/>
    <xf numFmtId="0" fontId="11" fillId="0" borderId="4" xfId="0" applyFont="1" applyBorder="1" applyAlignment="1">
      <alignment horizontal="center"/>
    </xf>
    <xf numFmtId="0" fontId="11" fillId="0" borderId="4" xfId="0" applyFont="1" applyBorder="1" applyAlignment="1">
      <alignment horizontal="center" vertical="center"/>
    </xf>
    <xf numFmtId="0" fontId="11" fillId="0" borderId="7" xfId="0" applyFont="1" applyBorder="1" applyAlignment="1">
      <alignment horizontal="center" vertical="center"/>
    </xf>
    <xf numFmtId="0" fontId="11" fillId="0" borderId="8" xfId="0" applyFont="1" applyBorder="1" applyAlignment="1">
      <alignment horizontal="center"/>
    </xf>
    <xf numFmtId="0" fontId="11" fillId="0" borderId="2" xfId="0" applyFont="1" applyBorder="1" applyAlignment="1">
      <alignment horizontal="center"/>
    </xf>
    <xf numFmtId="0" fontId="11" fillId="0" borderId="9" xfId="0" applyFont="1" applyBorder="1" applyAlignment="1">
      <alignment horizontal="center"/>
    </xf>
    <xf numFmtId="0" fontId="11" fillId="0" borderId="4" xfId="0" applyFont="1" applyBorder="1" applyAlignment="1">
      <alignment horizontal="justify" vertical="center" wrapText="1"/>
    </xf>
    <xf numFmtId="0" fontId="1" fillId="5" borderId="0" xfId="0" applyFont="1" applyFill="1" applyAlignment="1">
      <alignment horizontal="center"/>
    </xf>
    <xf numFmtId="0" fontId="14" fillId="0" borderId="2" xfId="0" quotePrefix="1" applyFont="1" applyBorder="1"/>
    <xf numFmtId="0" fontId="26" fillId="0" borderId="0" xfId="0" applyFont="1"/>
    <xf numFmtId="0" fontId="27" fillId="0" borderId="0" xfId="0" applyFont="1"/>
    <xf numFmtId="0" fontId="28" fillId="0" borderId="0" xfId="0" applyFont="1"/>
    <xf numFmtId="0" fontId="0" fillId="14" borderId="0" xfId="0" applyFill="1"/>
    <xf numFmtId="0" fontId="0" fillId="15" borderId="0" xfId="0" applyFill="1"/>
    <xf numFmtId="0" fontId="11" fillId="16" borderId="4" xfId="0" applyFont="1" applyFill="1" applyBorder="1" applyAlignment="1">
      <alignment horizontal="center"/>
    </xf>
    <xf numFmtId="0" fontId="0" fillId="17" borderId="0" xfId="0" applyFill="1"/>
    <xf numFmtId="0" fontId="17" fillId="14" borderId="2" xfId="0" applyFont="1" applyFill="1" applyBorder="1"/>
    <xf numFmtId="0" fontId="16" fillId="0" borderId="2" xfId="0" applyFont="1" applyBorder="1"/>
    <xf numFmtId="164" fontId="16" fillId="10" borderId="2" xfId="4" applyNumberFormat="1" applyFont="1" applyFill="1" applyBorder="1"/>
    <xf numFmtId="0" fontId="18" fillId="0" borderId="2" xfId="0" applyFont="1" applyBorder="1"/>
    <xf numFmtId="0" fontId="35" fillId="5" borderId="2" xfId="0" applyFont="1" applyFill="1" applyBorder="1" applyAlignment="1">
      <alignment horizontal="center"/>
    </xf>
    <xf numFmtId="0" fontId="36" fillId="15" borderId="2" xfId="0" applyFont="1" applyFill="1" applyBorder="1" applyAlignment="1">
      <alignment horizontal="center"/>
    </xf>
    <xf numFmtId="0" fontId="37" fillId="5" borderId="2" xfId="0" applyFont="1" applyFill="1" applyBorder="1" applyAlignment="1">
      <alignment horizontal="center"/>
    </xf>
    <xf numFmtId="0" fontId="36" fillId="0" borderId="2" xfId="0" applyFont="1" applyBorder="1"/>
    <xf numFmtId="0" fontId="12" fillId="18" borderId="2" xfId="0" applyFont="1" applyFill="1" applyBorder="1" applyAlignment="1">
      <alignment horizontal="center"/>
    </xf>
    <xf numFmtId="0" fontId="38" fillId="18" borderId="2" xfId="0" applyFont="1" applyFill="1" applyBorder="1" applyAlignment="1">
      <alignment horizontal="center" vertical="center"/>
    </xf>
    <xf numFmtId="0" fontId="6" fillId="0" borderId="2" xfId="0" applyFont="1" applyBorder="1"/>
    <xf numFmtId="164" fontId="36" fillId="0" borderId="2" xfId="4" applyNumberFormat="1" applyFont="1" applyBorder="1"/>
    <xf numFmtId="164" fontId="39" fillId="0" borderId="2" xfId="4" applyNumberFormat="1" applyFont="1" applyFill="1" applyBorder="1"/>
    <xf numFmtId="164" fontId="7" fillId="0" borderId="4" xfId="4" applyNumberFormat="1" applyFont="1" applyBorder="1" applyAlignment="1">
      <alignment horizontal="center"/>
    </xf>
    <xf numFmtId="164" fontId="23" fillId="0" borderId="1" xfId="4" applyNumberFormat="1" applyFont="1" applyBorder="1"/>
    <xf numFmtId="164" fontId="25" fillId="2" borderId="4" xfId="4" applyNumberFormat="1" applyFont="1" applyFill="1" applyBorder="1" applyAlignment="1">
      <alignment horizontal="center"/>
    </xf>
    <xf numFmtId="164" fontId="25" fillId="2" borderId="5" xfId="4" applyNumberFormat="1" applyFont="1" applyFill="1" applyBorder="1" applyAlignment="1">
      <alignment horizontal="center"/>
    </xf>
    <xf numFmtId="164" fontId="23" fillId="2" borderId="5" xfId="4" applyNumberFormat="1" applyFont="1" applyFill="1" applyBorder="1" applyAlignment="1">
      <alignment horizontal="center"/>
    </xf>
    <xf numFmtId="164" fontId="25" fillId="0" borderId="5" xfId="4" applyNumberFormat="1" applyFont="1" applyBorder="1" applyAlignment="1">
      <alignment horizontal="center"/>
    </xf>
    <xf numFmtId="164" fontId="23" fillId="0" borderId="5" xfId="4" applyNumberFormat="1" applyFont="1" applyBorder="1" applyAlignment="1">
      <alignment horizontal="center"/>
    </xf>
    <xf numFmtId="164" fontId="25" fillId="0" borderId="0" xfId="4" applyNumberFormat="1" applyFont="1" applyBorder="1" applyAlignment="1">
      <alignment horizontal="center"/>
    </xf>
    <xf numFmtId="164" fontId="26" fillId="0" borderId="0" xfId="4" applyNumberFormat="1" applyFont="1"/>
    <xf numFmtId="164" fontId="8" fillId="0" borderId="1" xfId="4" applyNumberFormat="1" applyFont="1" applyBorder="1"/>
    <xf numFmtId="164" fontId="5" fillId="2" borderId="4" xfId="4" applyNumberFormat="1" applyFont="1" applyFill="1" applyBorder="1" applyAlignment="1">
      <alignment horizontal="center"/>
    </xf>
    <xf numFmtId="164" fontId="5" fillId="2" borderId="5" xfId="4" applyNumberFormat="1" applyFont="1" applyFill="1" applyBorder="1" applyAlignment="1">
      <alignment horizontal="center"/>
    </xf>
    <xf numFmtId="164" fontId="5" fillId="0" borderId="5" xfId="4" applyNumberFormat="1" applyFont="1" applyBorder="1" applyAlignment="1">
      <alignment horizontal="center"/>
    </xf>
    <xf numFmtId="164" fontId="5" fillId="8" borderId="5" xfId="4" applyNumberFormat="1" applyFont="1" applyFill="1" applyBorder="1" applyAlignment="1">
      <alignment horizontal="center"/>
    </xf>
    <xf numFmtId="164" fontId="5" fillId="0" borderId="0" xfId="4" applyNumberFormat="1" applyFont="1" applyBorder="1" applyAlignment="1">
      <alignment horizontal="center"/>
    </xf>
    <xf numFmtId="164" fontId="0" fillId="0" borderId="0" xfId="4" applyNumberFormat="1" applyFont="1"/>
    <xf numFmtId="164" fontId="6" fillId="2" borderId="4" xfId="4" applyNumberFormat="1" applyFont="1" applyFill="1" applyBorder="1" applyAlignment="1">
      <alignment horizontal="center"/>
    </xf>
    <xf numFmtId="164" fontId="4" fillId="2" borderId="5" xfId="4" applyNumberFormat="1" applyFont="1" applyFill="1" applyBorder="1" applyAlignment="1">
      <alignment horizontal="center"/>
    </xf>
    <xf numFmtId="164" fontId="4" fillId="0" borderId="5" xfId="4" applyNumberFormat="1" applyFont="1" applyBorder="1" applyAlignment="1">
      <alignment horizontal="center"/>
    </xf>
    <xf numFmtId="164" fontId="6" fillId="0" borderId="5" xfId="4" applyNumberFormat="1" applyFont="1" applyBorder="1" applyAlignment="1">
      <alignment horizontal="center"/>
    </xf>
    <xf numFmtId="164" fontId="5" fillId="6" borderId="5" xfId="4" applyNumberFormat="1" applyFont="1" applyFill="1" applyBorder="1" applyAlignment="1">
      <alignment horizontal="center"/>
    </xf>
    <xf numFmtId="164" fontId="6" fillId="2" borderId="5" xfId="4" applyNumberFormat="1" applyFont="1" applyFill="1" applyBorder="1" applyAlignment="1">
      <alignment horizontal="center"/>
    </xf>
    <xf numFmtId="164" fontId="8" fillId="2" borderId="5" xfId="4" applyNumberFormat="1" applyFont="1" applyFill="1" applyBorder="1" applyAlignment="1">
      <alignment horizontal="center"/>
    </xf>
    <xf numFmtId="164" fontId="8" fillId="0" borderId="5" xfId="4" applyNumberFormat="1" applyFont="1" applyBorder="1" applyAlignment="1">
      <alignment horizontal="center"/>
    </xf>
    <xf numFmtId="164" fontId="6" fillId="0" borderId="0" xfId="4" applyNumberFormat="1" applyFont="1" applyBorder="1" applyAlignment="1">
      <alignment horizontal="center"/>
    </xf>
    <xf numFmtId="164" fontId="27" fillId="0" borderId="0" xfId="4" applyNumberFormat="1" applyFont="1"/>
    <xf numFmtId="164" fontId="8" fillId="0" borderId="1" xfId="4" applyNumberFormat="1" applyFont="1" applyBorder="1" applyAlignment="1">
      <alignment horizontal="left"/>
    </xf>
    <xf numFmtId="164" fontId="5" fillId="2" borderId="4" xfId="4" applyNumberFormat="1" applyFont="1" applyFill="1" applyBorder="1" applyAlignment="1">
      <alignment horizontal="center" vertical="center"/>
    </xf>
    <xf numFmtId="164" fontId="5" fillId="2" borderId="5" xfId="4" applyNumberFormat="1" applyFont="1" applyFill="1" applyBorder="1" applyAlignment="1">
      <alignment horizontal="center" vertical="center"/>
    </xf>
    <xf numFmtId="164" fontId="4" fillId="2" borderId="5" xfId="4" applyNumberFormat="1" applyFont="1" applyFill="1" applyBorder="1" applyAlignment="1">
      <alignment horizontal="center" vertical="center"/>
    </xf>
    <xf numFmtId="164" fontId="5" fillId="0" borderId="5" xfId="4" applyNumberFormat="1" applyFont="1" applyBorder="1" applyAlignment="1">
      <alignment horizontal="center" vertical="center"/>
    </xf>
    <xf numFmtId="164" fontId="4" fillId="0" borderId="5" xfId="4" applyNumberFormat="1" applyFont="1" applyBorder="1" applyAlignment="1">
      <alignment horizontal="center" vertical="center"/>
    </xf>
    <xf numFmtId="164" fontId="5" fillId="0" borderId="0" xfId="4" applyNumberFormat="1" applyFont="1" applyBorder="1" applyAlignment="1">
      <alignment horizontal="center" vertical="center"/>
    </xf>
    <xf numFmtId="164" fontId="4" fillId="2" borderId="4" xfId="4" applyNumberFormat="1" applyFont="1" applyFill="1" applyBorder="1" applyAlignment="1">
      <alignment horizontal="center"/>
    </xf>
    <xf numFmtId="164" fontId="8" fillId="0" borderId="5" xfId="4" applyNumberFormat="1" applyFont="1" applyBorder="1" applyAlignment="1">
      <alignment horizontal="left"/>
    </xf>
    <xf numFmtId="164" fontId="6" fillId="2" borderId="5" xfId="4" applyNumberFormat="1" applyFont="1" applyFill="1" applyBorder="1" applyAlignment="1">
      <alignment horizontal="center" vertical="center"/>
    </xf>
    <xf numFmtId="164" fontId="6" fillId="0" borderId="5" xfId="4" applyNumberFormat="1" applyFont="1" applyBorder="1" applyAlignment="1">
      <alignment horizontal="center" vertical="center"/>
    </xf>
    <xf numFmtId="164" fontId="6" fillId="0" borderId="0" xfId="4" applyNumberFormat="1" applyFont="1" applyBorder="1" applyAlignment="1">
      <alignment horizontal="center" vertical="center"/>
    </xf>
    <xf numFmtId="164" fontId="4" fillId="0" borderId="0" xfId="4" applyNumberFormat="1" applyFont="1" applyBorder="1" applyAlignment="1">
      <alignment horizontal="center"/>
    </xf>
    <xf numFmtId="164" fontId="8" fillId="0" borderId="0" xfId="4" applyNumberFormat="1" applyFont="1" applyAlignment="1">
      <alignment horizontal="center"/>
    </xf>
    <xf numFmtId="164" fontId="6" fillId="0" borderId="0" xfId="4" applyNumberFormat="1" applyFont="1" applyAlignment="1">
      <alignment horizontal="center"/>
    </xf>
    <xf numFmtId="164" fontId="8" fillId="0" borderId="6" xfId="4" applyNumberFormat="1" applyFont="1" applyBorder="1" applyAlignment="1">
      <alignment horizontal="center"/>
    </xf>
    <xf numFmtId="164" fontId="7" fillId="0" borderId="4" xfId="4" applyNumberFormat="1" applyFont="1" applyBorder="1" applyAlignment="1">
      <alignment horizontal="center" vertical="center"/>
    </xf>
    <xf numFmtId="164" fontId="8" fillId="0" borderId="5" xfId="4" applyNumberFormat="1" applyFont="1" applyBorder="1" applyAlignment="1">
      <alignment vertical="center"/>
    </xf>
    <xf numFmtId="164" fontId="8" fillId="0" borderId="0" xfId="4" applyNumberFormat="1" applyFont="1" applyBorder="1" applyAlignment="1">
      <alignment horizontal="center"/>
    </xf>
    <xf numFmtId="164" fontId="7" fillId="0" borderId="5" xfId="4" applyNumberFormat="1" applyFont="1" applyBorder="1" applyAlignment="1">
      <alignment vertical="center"/>
    </xf>
    <xf numFmtId="164" fontId="10" fillId="2" borderId="5" xfId="4" applyNumberFormat="1" applyFont="1" applyFill="1" applyBorder="1" applyAlignment="1">
      <alignment horizontal="center"/>
    </xf>
    <xf numFmtId="164" fontId="7" fillId="2" borderId="5" xfId="4" applyNumberFormat="1" applyFont="1" applyFill="1" applyBorder="1" applyAlignment="1">
      <alignment horizontal="center"/>
    </xf>
    <xf numFmtId="164" fontId="10" fillId="0" borderId="5" xfId="4" applyNumberFormat="1" applyFont="1" applyBorder="1" applyAlignment="1">
      <alignment horizontal="center"/>
    </xf>
    <xf numFmtId="164" fontId="7" fillId="0" borderId="5" xfId="4" applyNumberFormat="1" applyFont="1" applyBorder="1" applyAlignment="1">
      <alignment horizontal="center"/>
    </xf>
    <xf numFmtId="164" fontId="10" fillId="0" borderId="0" xfId="4" applyNumberFormat="1" applyFont="1" applyBorder="1" applyAlignment="1">
      <alignment horizontal="center"/>
    </xf>
    <xf numFmtId="164" fontId="8" fillId="0" borderId="5" xfId="4" applyNumberFormat="1" applyFont="1" applyBorder="1"/>
    <xf numFmtId="164" fontId="6" fillId="2" borderId="0" xfId="4" applyNumberFormat="1" applyFont="1" applyFill="1" applyAlignment="1">
      <alignment horizontal="center"/>
    </xf>
    <xf numFmtId="164" fontId="8" fillId="0" borderId="1" xfId="4" applyNumberFormat="1" applyFont="1" applyBorder="1" applyAlignment="1">
      <alignment vertical="center"/>
    </xf>
    <xf numFmtId="164" fontId="7" fillId="0" borderId="7" xfId="4" applyNumberFormat="1" applyFont="1" applyBorder="1" applyAlignment="1">
      <alignment horizontal="center" vertical="center"/>
    </xf>
    <xf numFmtId="164" fontId="5" fillId="8" borderId="0" xfId="4" applyNumberFormat="1" applyFont="1" applyFill="1" applyBorder="1" applyAlignment="1">
      <alignment horizontal="center"/>
    </xf>
    <xf numFmtId="164" fontId="8" fillId="0" borderId="4" xfId="4" applyNumberFormat="1" applyFont="1" applyBorder="1" applyAlignment="1">
      <alignment horizontal="left"/>
    </xf>
    <xf numFmtId="164" fontId="8" fillId="0" borderId="4" xfId="4" applyNumberFormat="1" applyFont="1" applyBorder="1" applyAlignment="1">
      <alignment horizontal="center"/>
    </xf>
    <xf numFmtId="164" fontId="8" fillId="0" borderId="4" xfId="4" applyNumberFormat="1" applyFont="1" applyBorder="1" applyAlignment="1">
      <alignment horizontal="left" wrapText="1"/>
    </xf>
    <xf numFmtId="164" fontId="4" fillId="2" borderId="5" xfId="4" applyNumberFormat="1" applyFont="1" applyFill="1" applyBorder="1" applyAlignment="1">
      <alignment horizontal="center" vertical="top" wrapText="1"/>
    </xf>
    <xf numFmtId="164" fontId="4" fillId="0" borderId="5" xfId="4" applyNumberFormat="1" applyFont="1" applyBorder="1" applyAlignment="1">
      <alignment horizontal="center" vertical="top" wrapText="1"/>
    </xf>
    <xf numFmtId="164" fontId="4" fillId="0" borderId="0" xfId="4" applyNumberFormat="1" applyFont="1" applyBorder="1" applyAlignment="1">
      <alignment horizontal="center" vertical="top" wrapText="1"/>
    </xf>
    <xf numFmtId="164" fontId="8" fillId="0" borderId="8" xfId="4" applyNumberFormat="1" applyFont="1" applyBorder="1" applyAlignment="1">
      <alignment horizontal="center"/>
    </xf>
    <xf numFmtId="164" fontId="8" fillId="0" borderId="6" xfId="4" applyNumberFormat="1" applyFont="1" applyBorder="1" applyAlignment="1">
      <alignment horizontal="left"/>
    </xf>
    <xf numFmtId="164" fontId="6" fillId="2" borderId="4" xfId="4" applyNumberFormat="1" applyFont="1" applyFill="1" applyBorder="1" applyAlignment="1">
      <alignment horizontal="center" vertical="top" wrapText="1"/>
    </xf>
    <xf numFmtId="164" fontId="6" fillId="2" borderId="5" xfId="4" applyNumberFormat="1" applyFont="1" applyFill="1" applyBorder="1" applyAlignment="1">
      <alignment horizontal="center" vertical="top" wrapText="1"/>
    </xf>
    <xf numFmtId="164" fontId="6" fillId="0" borderId="5" xfId="4" applyNumberFormat="1" applyFont="1" applyBorder="1" applyAlignment="1">
      <alignment horizontal="center" vertical="top" wrapText="1"/>
    </xf>
    <xf numFmtId="164" fontId="6" fillId="0" borderId="0" xfId="4" applyNumberFormat="1" applyFont="1" applyBorder="1" applyAlignment="1">
      <alignment horizontal="center" vertical="top" wrapText="1"/>
    </xf>
    <xf numFmtId="164" fontId="8" fillId="0" borderId="6" xfId="4" applyNumberFormat="1" applyFont="1" applyBorder="1" applyAlignment="1">
      <alignment horizontal="left" wrapText="1"/>
    </xf>
    <xf numFmtId="164" fontId="6" fillId="2" borderId="4" xfId="4" applyNumberFormat="1" applyFont="1" applyFill="1" applyBorder="1" applyAlignment="1">
      <alignment horizontal="center" vertical="top" shrinkToFit="1"/>
    </xf>
    <xf numFmtId="164" fontId="6" fillId="2" borderId="5" xfId="4" applyNumberFormat="1" applyFont="1" applyFill="1" applyBorder="1" applyAlignment="1">
      <alignment horizontal="center" vertical="top" shrinkToFit="1"/>
    </xf>
    <xf numFmtId="164" fontId="6" fillId="0" borderId="5" xfId="4" applyNumberFormat="1" applyFont="1" applyBorder="1" applyAlignment="1">
      <alignment horizontal="center" vertical="top" shrinkToFit="1"/>
    </xf>
    <xf numFmtId="164" fontId="6" fillId="0" borderId="0" xfId="4" applyNumberFormat="1" applyFont="1" applyBorder="1" applyAlignment="1">
      <alignment horizontal="center" vertical="top" shrinkToFit="1"/>
    </xf>
    <xf numFmtId="164" fontId="7" fillId="0" borderId="6" xfId="4" applyNumberFormat="1" applyFont="1" applyBorder="1" applyAlignment="1">
      <alignment horizontal="center"/>
    </xf>
    <xf numFmtId="164" fontId="7" fillId="0" borderId="6" xfId="4" applyNumberFormat="1" applyFont="1" applyBorder="1" applyAlignment="1">
      <alignment horizontal="left"/>
    </xf>
    <xf numFmtId="164" fontId="10" fillId="2" borderId="4" xfId="4" applyNumberFormat="1" applyFont="1" applyFill="1" applyBorder="1" applyAlignment="1">
      <alignment horizontal="center"/>
    </xf>
    <xf numFmtId="164" fontId="8" fillId="0" borderId="2" xfId="4" applyNumberFormat="1" applyFont="1" applyBorder="1" applyAlignment="1">
      <alignment horizontal="center"/>
    </xf>
    <xf numFmtId="164" fontId="8" fillId="0" borderId="4" xfId="4" applyNumberFormat="1" applyFont="1" applyBorder="1" applyAlignment="1">
      <alignment vertical="center"/>
    </xf>
    <xf numFmtId="164" fontId="4" fillId="0" borderId="4" xfId="4" applyNumberFormat="1" applyFont="1" applyBorder="1" applyAlignment="1">
      <alignment vertical="center"/>
    </xf>
    <xf numFmtId="164" fontId="8" fillId="0" borderId="9" xfId="4" applyNumberFormat="1" applyFont="1" applyBorder="1" applyAlignment="1">
      <alignment horizontal="center"/>
    </xf>
    <xf numFmtId="164" fontId="5" fillId="12" borderId="5" xfId="4" applyNumberFormat="1" applyFont="1" applyFill="1" applyBorder="1" applyAlignment="1">
      <alignment horizontal="center"/>
    </xf>
    <xf numFmtId="164" fontId="4" fillId="0" borderId="5" xfId="4" applyNumberFormat="1" applyFont="1" applyBorder="1" applyAlignment="1">
      <alignment vertical="center"/>
    </xf>
    <xf numFmtId="164" fontId="8" fillId="0" borderId="6" xfId="4" applyNumberFormat="1" applyFont="1" applyBorder="1" applyAlignment="1">
      <alignment vertical="center"/>
    </xf>
    <xf numFmtId="164" fontId="7" fillId="0" borderId="6" xfId="4" applyNumberFormat="1" applyFont="1" applyBorder="1" applyAlignment="1">
      <alignment vertical="center"/>
    </xf>
    <xf numFmtId="164" fontId="4" fillId="0" borderId="6" xfId="4" applyNumberFormat="1" applyFont="1" applyBorder="1" applyAlignment="1">
      <alignment vertical="center"/>
    </xf>
    <xf numFmtId="164" fontId="16" fillId="0" borderId="0" xfId="4" applyNumberFormat="1" applyFont="1" applyAlignment="1">
      <alignment horizontal="center"/>
    </xf>
    <xf numFmtId="164" fontId="5" fillId="0" borderId="0" xfId="4" applyNumberFormat="1" applyFont="1" applyFill="1" applyBorder="1" applyAlignment="1">
      <alignment horizontal="center"/>
    </xf>
    <xf numFmtId="164" fontId="8" fillId="0" borderId="4" xfId="4" applyNumberFormat="1" applyFont="1" applyBorder="1" applyAlignment="1">
      <alignment horizontal="left" vertical="center"/>
    </xf>
    <xf numFmtId="164" fontId="6" fillId="0" borderId="10" xfId="4" applyNumberFormat="1" applyFont="1" applyBorder="1" applyAlignment="1">
      <alignment horizontal="center"/>
    </xf>
    <xf numFmtId="164" fontId="6" fillId="0" borderId="24" xfId="4" applyNumberFormat="1" applyFont="1" applyBorder="1" applyAlignment="1">
      <alignment horizontal="center"/>
    </xf>
    <xf numFmtId="164" fontId="5" fillId="0" borderId="4" xfId="4" applyNumberFormat="1" applyFont="1" applyBorder="1" applyAlignment="1">
      <alignment horizontal="center"/>
    </xf>
    <xf numFmtId="164" fontId="5" fillId="2" borderId="3" xfId="4" applyNumberFormat="1" applyFont="1" applyFill="1" applyBorder="1" applyAlignment="1">
      <alignment horizontal="center"/>
    </xf>
    <xf numFmtId="164" fontId="5" fillId="0" borderId="3" xfId="4" applyNumberFormat="1" applyFont="1" applyBorder="1" applyAlignment="1">
      <alignment horizontal="center"/>
    </xf>
    <xf numFmtId="164" fontId="4" fillId="0" borderId="3" xfId="4" applyNumberFormat="1" applyFont="1" applyBorder="1" applyAlignment="1">
      <alignment horizontal="center"/>
    </xf>
    <xf numFmtId="164" fontId="7" fillId="0" borderId="4" xfId="4" applyNumberFormat="1" applyFont="1" applyBorder="1" applyAlignment="1">
      <alignment vertical="center"/>
    </xf>
    <xf numFmtId="164" fontId="6" fillId="2" borderId="4" xfId="4" applyNumberFormat="1" applyFont="1" applyFill="1" applyBorder="1" applyAlignment="1">
      <alignment horizontal="center" vertical="center"/>
    </xf>
    <xf numFmtId="164" fontId="8" fillId="0" borderId="5" xfId="4" applyNumberFormat="1" applyFont="1" applyBorder="1" applyAlignment="1">
      <alignment horizontal="left" vertical="center"/>
    </xf>
    <xf numFmtId="164" fontId="5" fillId="2" borderId="5" xfId="4" applyNumberFormat="1" applyFont="1" applyFill="1" applyBorder="1" applyAlignment="1">
      <alignment horizontal="center" vertical="top"/>
    </xf>
    <xf numFmtId="164" fontId="5" fillId="0" borderId="5" xfId="4" applyNumberFormat="1" applyFont="1" applyBorder="1" applyAlignment="1">
      <alignment horizontal="center" vertical="top"/>
    </xf>
    <xf numFmtId="164" fontId="5" fillId="0" borderId="0" xfId="4" applyNumberFormat="1" applyFont="1" applyBorder="1" applyAlignment="1">
      <alignment horizontal="center" vertical="top"/>
    </xf>
    <xf numFmtId="164" fontId="6" fillId="2" borderId="23" xfId="4" applyNumberFormat="1" applyFont="1" applyFill="1" applyBorder="1" applyAlignment="1">
      <alignment horizontal="center"/>
    </xf>
    <xf numFmtId="164" fontId="5" fillId="0" borderId="23" xfId="4" applyNumberFormat="1" applyFont="1" applyFill="1" applyBorder="1" applyAlignment="1">
      <alignment horizontal="center" vertical="top"/>
    </xf>
    <xf numFmtId="164" fontId="4" fillId="0" borderId="4" xfId="4" applyNumberFormat="1" applyFont="1" applyBorder="1" applyAlignment="1">
      <alignment horizontal="justify" vertical="center" wrapText="1"/>
    </xf>
    <xf numFmtId="164" fontId="4" fillId="0" borderId="5" xfId="4" applyNumberFormat="1" applyFont="1" applyBorder="1" applyAlignment="1">
      <alignment horizontal="justify" vertical="center" wrapText="1"/>
    </xf>
    <xf numFmtId="164" fontId="7" fillId="0" borderId="4" xfId="4" applyNumberFormat="1" applyFont="1" applyBorder="1" applyAlignment="1">
      <alignment horizontal="justify" vertical="center" wrapText="1"/>
    </xf>
    <xf numFmtId="164" fontId="7" fillId="0" borderId="5" xfId="4" applyNumberFormat="1" applyFont="1" applyBorder="1" applyAlignment="1">
      <alignment horizontal="justify" vertical="center" wrapText="1"/>
    </xf>
    <xf numFmtId="164" fontId="8" fillId="0" borderId="4" xfId="4" applyNumberFormat="1" applyFont="1" applyBorder="1" applyAlignment="1">
      <alignment horizontal="justify" vertical="center" wrapText="1"/>
    </xf>
    <xf numFmtId="164" fontId="8" fillId="0" borderId="5" xfId="4" applyNumberFormat="1" applyFont="1" applyBorder="1" applyAlignment="1">
      <alignment horizontal="justify" vertical="center" wrapText="1"/>
    </xf>
    <xf numFmtId="164" fontId="16" fillId="0" borderId="2" xfId="4" applyNumberFormat="1" applyFont="1" applyBorder="1"/>
    <xf numFmtId="164" fontId="16" fillId="17" borderId="2" xfId="4" applyNumberFormat="1" applyFont="1" applyFill="1" applyBorder="1"/>
    <xf numFmtId="164" fontId="16" fillId="11" borderId="2" xfId="4" applyNumberFormat="1" applyFont="1" applyFill="1" applyBorder="1"/>
    <xf numFmtId="164" fontId="9" fillId="16" borderId="1" xfId="4" applyNumberFormat="1" applyFont="1" applyFill="1" applyBorder="1" applyAlignment="1">
      <alignment horizontal="center"/>
    </xf>
    <xf numFmtId="164" fontId="29" fillId="16" borderId="4" xfId="4" applyNumberFormat="1" applyFont="1" applyFill="1" applyBorder="1" applyAlignment="1">
      <alignment horizontal="center"/>
    </xf>
    <xf numFmtId="164" fontId="29" fillId="16" borderId="5" xfId="4" applyNumberFormat="1" applyFont="1" applyFill="1" applyBorder="1" applyAlignment="1">
      <alignment horizontal="center"/>
    </xf>
    <xf numFmtId="164" fontId="29" fillId="3" borderId="5" xfId="4" applyNumberFormat="1" applyFont="1" applyFill="1" applyBorder="1" applyAlignment="1">
      <alignment horizontal="center"/>
    </xf>
    <xf numFmtId="164" fontId="9" fillId="16" borderId="5" xfId="4" applyNumberFormat="1" applyFont="1" applyFill="1" applyBorder="1" applyAlignment="1">
      <alignment horizontal="center"/>
    </xf>
    <xf numFmtId="164" fontId="9" fillId="0" borderId="1" xfId="4" applyNumberFormat="1" applyFont="1" applyBorder="1" applyAlignment="1">
      <alignment horizontal="center"/>
    </xf>
    <xf numFmtId="164" fontId="30" fillId="13" borderId="4" xfId="4" applyNumberFormat="1" applyFont="1" applyFill="1" applyBorder="1" applyAlignment="1">
      <alignment horizontal="center"/>
    </xf>
    <xf numFmtId="164" fontId="20" fillId="13" borderId="5" xfId="4" applyNumberFormat="1" applyFont="1" applyFill="1" applyBorder="1" applyAlignment="1">
      <alignment horizontal="center"/>
    </xf>
    <xf numFmtId="164" fontId="29" fillId="13" borderId="5" xfId="4" applyNumberFormat="1" applyFont="1" applyFill="1" applyBorder="1" applyAlignment="1">
      <alignment horizontal="center"/>
    </xf>
    <xf numFmtId="164" fontId="20" fillId="0" borderId="5" xfId="4" applyNumberFormat="1" applyFont="1" applyBorder="1" applyAlignment="1">
      <alignment horizontal="center"/>
    </xf>
    <xf numFmtId="164" fontId="29" fillId="0" borderId="5" xfId="4" applyNumberFormat="1" applyFont="1" applyBorder="1" applyAlignment="1">
      <alignment horizontal="center"/>
    </xf>
    <xf numFmtId="164" fontId="30" fillId="0" borderId="5" xfId="4" applyNumberFormat="1" applyFont="1" applyBorder="1" applyAlignment="1">
      <alignment horizontal="center"/>
    </xf>
    <xf numFmtId="164" fontId="20" fillId="3" borderId="5" xfId="4" applyNumberFormat="1" applyFont="1" applyFill="1" applyBorder="1" applyAlignment="1">
      <alignment horizontal="center"/>
    </xf>
    <xf numFmtId="164" fontId="30" fillId="4" borderId="5" xfId="4" applyNumberFormat="1" applyFont="1" applyFill="1" applyBorder="1" applyAlignment="1">
      <alignment horizontal="center"/>
    </xf>
    <xf numFmtId="164" fontId="22" fillId="0" borderId="2" xfId="4" applyNumberFormat="1" applyFont="1" applyBorder="1" applyAlignment="1">
      <alignment horizontal="center"/>
    </xf>
    <xf numFmtId="164" fontId="22" fillId="14" borderId="2" xfId="4" applyNumberFormat="1" applyFont="1" applyFill="1" applyBorder="1" applyAlignment="1">
      <alignment horizontal="center"/>
    </xf>
    <xf numFmtId="164" fontId="20" fillId="12" borderId="5" xfId="4" applyNumberFormat="1" applyFont="1" applyFill="1" applyBorder="1" applyAlignment="1">
      <alignment horizontal="center"/>
    </xf>
    <xf numFmtId="164" fontId="22" fillId="12" borderId="2" xfId="4" applyNumberFormat="1" applyFont="1" applyFill="1" applyBorder="1" applyAlignment="1">
      <alignment horizontal="center"/>
    </xf>
    <xf numFmtId="164" fontId="22" fillId="11" borderId="2" xfId="4" applyNumberFormat="1" applyFont="1" applyFill="1" applyBorder="1" applyAlignment="1">
      <alignment horizontal="center"/>
    </xf>
    <xf numFmtId="164" fontId="20" fillId="14" borderId="10" xfId="4" applyNumberFormat="1" applyFont="1" applyFill="1" applyBorder="1" applyAlignment="1">
      <alignment horizontal="center"/>
    </xf>
    <xf numFmtId="164" fontId="20" fillId="0" borderId="10" xfId="4" applyNumberFormat="1" applyFont="1" applyBorder="1" applyAlignment="1">
      <alignment horizontal="center"/>
    </xf>
    <xf numFmtId="164" fontId="20" fillId="12" borderId="10" xfId="4" applyNumberFormat="1" applyFont="1" applyFill="1" applyBorder="1" applyAlignment="1">
      <alignment horizontal="center"/>
    </xf>
    <xf numFmtId="164" fontId="20" fillId="13" borderId="4" xfId="4" applyNumberFormat="1" applyFont="1" applyFill="1" applyBorder="1" applyAlignment="1">
      <alignment horizontal="center"/>
    </xf>
    <xf numFmtId="164" fontId="20" fillId="11" borderId="2" xfId="4" applyNumberFormat="1" applyFont="1" applyFill="1" applyBorder="1" applyAlignment="1">
      <alignment horizontal="center"/>
    </xf>
    <xf numFmtId="164" fontId="20" fillId="8" borderId="5" xfId="4" applyNumberFormat="1" applyFont="1" applyFill="1" applyBorder="1" applyAlignment="1">
      <alignment horizontal="center"/>
    </xf>
    <xf numFmtId="164" fontId="22" fillId="14" borderId="10" xfId="4" applyNumberFormat="1" applyFont="1" applyFill="1" applyBorder="1" applyAlignment="1">
      <alignment horizontal="center"/>
    </xf>
    <xf numFmtId="164" fontId="22" fillId="0" borderId="10" xfId="4" applyNumberFormat="1" applyFont="1" applyBorder="1" applyAlignment="1">
      <alignment horizontal="center"/>
    </xf>
    <xf numFmtId="164" fontId="20" fillId="12" borderId="13" xfId="4" applyNumberFormat="1" applyFont="1" applyFill="1" applyBorder="1" applyAlignment="1">
      <alignment horizontal="center"/>
    </xf>
    <xf numFmtId="164" fontId="22" fillId="12" borderId="13" xfId="4" applyNumberFormat="1" applyFont="1" applyFill="1" applyBorder="1" applyAlignment="1">
      <alignment horizontal="center"/>
    </xf>
    <xf numFmtId="164" fontId="20" fillId="14" borderId="10" xfId="4" quotePrefix="1" applyNumberFormat="1" applyFont="1" applyFill="1" applyBorder="1" applyAlignment="1">
      <alignment horizontal="center"/>
    </xf>
    <xf numFmtId="164" fontId="20" fillId="12" borderId="10" xfId="4" quotePrefix="1" applyNumberFormat="1" applyFont="1" applyFill="1" applyBorder="1" applyAlignment="1">
      <alignment horizontal="center"/>
    </xf>
    <xf numFmtId="164" fontId="20" fillId="0" borderId="10" xfId="4" quotePrefix="1" applyNumberFormat="1" applyFont="1" applyBorder="1" applyAlignment="1">
      <alignment horizontal="center"/>
    </xf>
    <xf numFmtId="164" fontId="20" fillId="14" borderId="10" xfId="4" applyNumberFormat="1" applyFont="1" applyFill="1" applyBorder="1" applyAlignment="1">
      <alignment horizontal="center" vertical="center"/>
    </xf>
    <xf numFmtId="164" fontId="20" fillId="13" borderId="5" xfId="4" applyNumberFormat="1" applyFont="1" applyFill="1" applyBorder="1" applyAlignment="1">
      <alignment horizontal="center" vertical="center"/>
    </xf>
    <xf numFmtId="164" fontId="20" fillId="0" borderId="10" xfId="4" applyNumberFormat="1" applyFont="1" applyBorder="1" applyAlignment="1">
      <alignment horizontal="center" vertical="center"/>
    </xf>
    <xf numFmtId="164" fontId="20" fillId="0" borderId="5" xfId="4" applyNumberFormat="1" applyFont="1" applyBorder="1" applyAlignment="1">
      <alignment horizontal="center" vertical="center"/>
    </xf>
    <xf numFmtId="164" fontId="29" fillId="13" borderId="4" xfId="4" applyNumberFormat="1" applyFont="1" applyFill="1" applyBorder="1" applyAlignment="1">
      <alignment horizontal="center"/>
    </xf>
    <xf numFmtId="164" fontId="9" fillId="4" borderId="5" xfId="4" applyNumberFormat="1" applyFont="1" applyFill="1" applyBorder="1" applyAlignment="1">
      <alignment horizontal="center"/>
    </xf>
    <xf numFmtId="164" fontId="20" fillId="0" borderId="13" xfId="4" applyNumberFormat="1" applyFont="1" applyBorder="1" applyAlignment="1">
      <alignment horizontal="center"/>
    </xf>
    <xf numFmtId="164" fontId="30" fillId="13" borderId="5" xfId="4" applyNumberFormat="1" applyFont="1" applyFill="1" applyBorder="1" applyAlignment="1">
      <alignment horizontal="center"/>
    </xf>
    <xf numFmtId="164" fontId="30" fillId="3" borderId="5" xfId="4" applyNumberFormat="1" applyFont="1" applyFill="1" applyBorder="1" applyAlignment="1">
      <alignment horizontal="center"/>
    </xf>
    <xf numFmtId="164" fontId="9" fillId="13" borderId="5" xfId="4" applyNumberFormat="1" applyFont="1" applyFill="1" applyBorder="1" applyAlignment="1">
      <alignment horizontal="center"/>
    </xf>
    <xf numFmtId="164" fontId="9" fillId="0" borderId="5" xfId="4" applyNumberFormat="1" applyFont="1" applyBorder="1" applyAlignment="1">
      <alignment horizontal="center"/>
    </xf>
    <xf numFmtId="164" fontId="20" fillId="4" borderId="5" xfId="4" applyNumberFormat="1" applyFont="1" applyFill="1" applyBorder="1" applyAlignment="1">
      <alignment horizontal="center" vertical="top" wrapText="1"/>
    </xf>
    <xf numFmtId="164" fontId="20" fillId="4" borderId="5" xfId="4" applyNumberFormat="1" applyFont="1" applyFill="1" applyBorder="1" applyAlignment="1">
      <alignment horizontal="center"/>
    </xf>
    <xf numFmtId="164" fontId="20" fillId="0" borderId="10" xfId="4" applyNumberFormat="1" applyFont="1" applyFill="1" applyBorder="1" applyAlignment="1">
      <alignment horizontal="center"/>
    </xf>
    <xf numFmtId="164" fontId="20" fillId="0" borderId="16" xfId="4" applyNumberFormat="1" applyFont="1" applyBorder="1" applyAlignment="1">
      <alignment horizontal="center"/>
    </xf>
    <xf numFmtId="164" fontId="20" fillId="14" borderId="16" xfId="4" applyNumberFormat="1" applyFont="1" applyFill="1" applyBorder="1" applyAlignment="1">
      <alignment horizontal="center"/>
    </xf>
    <xf numFmtId="164" fontId="20" fillId="13" borderId="4" xfId="4" applyNumberFormat="1" applyFont="1" applyFill="1" applyBorder="1" applyAlignment="1">
      <alignment horizontal="center" vertical="center"/>
    </xf>
    <xf numFmtId="164" fontId="20" fillId="4" borderId="5" xfId="4" applyNumberFormat="1" applyFont="1" applyFill="1" applyBorder="1" applyAlignment="1">
      <alignment horizontal="center" vertical="center"/>
    </xf>
    <xf numFmtId="164" fontId="30" fillId="4" borderId="5" xfId="4" applyNumberFormat="1" applyFont="1" applyFill="1" applyBorder="1" applyAlignment="1">
      <alignment horizontal="center" vertical="center"/>
    </xf>
    <xf numFmtId="164" fontId="22" fillId="14" borderId="0" xfId="4" applyNumberFormat="1" applyFont="1" applyFill="1" applyAlignment="1">
      <alignment horizontal="center"/>
    </xf>
    <xf numFmtId="164" fontId="31" fillId="14" borderId="0" xfId="4" applyNumberFormat="1" applyFont="1" applyFill="1" applyAlignment="1">
      <alignment horizontal="center"/>
    </xf>
    <xf numFmtId="164" fontId="22" fillId="0" borderId="0" xfId="4" applyNumberFormat="1" applyFont="1" applyAlignment="1">
      <alignment horizontal="center"/>
    </xf>
    <xf numFmtId="164" fontId="22" fillId="11" borderId="0" xfId="4" applyNumberFormat="1" applyFont="1" applyFill="1" applyAlignment="1">
      <alignment horizontal="center"/>
    </xf>
    <xf numFmtId="164" fontId="9" fillId="0" borderId="6" xfId="4" applyNumberFormat="1" applyFont="1" applyBorder="1" applyAlignment="1">
      <alignment horizontal="center"/>
    </xf>
    <xf numFmtId="164" fontId="9" fillId="0" borderId="5" xfId="4" applyNumberFormat="1" applyFont="1" applyBorder="1" applyAlignment="1">
      <alignment horizontal="center" vertical="center"/>
    </xf>
    <xf numFmtId="164" fontId="29" fillId="4" borderId="5" xfId="4" applyNumberFormat="1" applyFont="1" applyFill="1" applyBorder="1" applyAlignment="1">
      <alignment horizontal="center"/>
    </xf>
    <xf numFmtId="164" fontId="20" fillId="14" borderId="2" xfId="4" applyNumberFormat="1" applyFont="1" applyFill="1" applyBorder="1" applyAlignment="1">
      <alignment horizontal="center"/>
    </xf>
    <xf numFmtId="164" fontId="20" fillId="0" borderId="2" xfId="4" applyNumberFormat="1" applyFont="1" applyBorder="1" applyAlignment="1">
      <alignment horizontal="center"/>
    </xf>
    <xf numFmtId="164" fontId="20" fillId="14" borderId="2" xfId="4" quotePrefix="1" applyNumberFormat="1" applyFont="1" applyFill="1" applyBorder="1" applyAlignment="1">
      <alignment horizontal="center"/>
    </xf>
    <xf numFmtId="164" fontId="20" fillId="0" borderId="2" xfId="4" quotePrefix="1" applyNumberFormat="1" applyFont="1" applyBorder="1" applyAlignment="1">
      <alignment horizontal="center"/>
    </xf>
    <xf numFmtId="164" fontId="20" fillId="11" borderId="2" xfId="4" quotePrefix="1" applyNumberFormat="1" applyFont="1" applyFill="1" applyBorder="1" applyAlignment="1">
      <alignment horizontal="center"/>
    </xf>
    <xf numFmtId="164" fontId="32" fillId="13" borderId="5" xfId="4" applyNumberFormat="1" applyFont="1" applyFill="1" applyBorder="1" applyAlignment="1">
      <alignment horizontal="center"/>
    </xf>
    <xf numFmtId="164" fontId="32" fillId="0" borderId="5" xfId="4" applyNumberFormat="1" applyFont="1" applyBorder="1" applyAlignment="1">
      <alignment horizontal="center"/>
    </xf>
    <xf numFmtId="164" fontId="32" fillId="3" borderId="5" xfId="4" applyNumberFormat="1" applyFont="1" applyFill="1" applyBorder="1" applyAlignment="1">
      <alignment horizontal="center"/>
    </xf>
    <xf numFmtId="164" fontId="32" fillId="4" borderId="5" xfId="4" applyNumberFormat="1" applyFont="1" applyFill="1" applyBorder="1" applyAlignment="1">
      <alignment horizontal="center"/>
    </xf>
    <xf numFmtId="164" fontId="30" fillId="0" borderId="0" xfId="4" applyNumberFormat="1" applyFont="1" applyAlignment="1">
      <alignment horizontal="center" vertical="center"/>
    </xf>
    <xf numFmtId="164" fontId="9" fillId="0" borderId="1" xfId="4" applyNumberFormat="1" applyFont="1" applyBorder="1" applyAlignment="1">
      <alignment horizontal="center" vertical="center"/>
    </xf>
    <xf numFmtId="164" fontId="20" fillId="14" borderId="14" xfId="4" applyNumberFormat="1" applyFont="1" applyFill="1" applyBorder="1" applyAlignment="1">
      <alignment horizontal="center"/>
    </xf>
    <xf numFmtId="164" fontId="22" fillId="14" borderId="15" xfId="4" applyNumberFormat="1" applyFont="1" applyFill="1" applyBorder="1" applyAlignment="1">
      <alignment horizontal="center" vertical="center" wrapText="1"/>
    </xf>
    <xf numFmtId="164" fontId="22" fillId="9" borderId="15" xfId="4" applyNumberFormat="1" applyFont="1" applyFill="1" applyBorder="1" applyAlignment="1">
      <alignment horizontal="center" vertical="center" wrapText="1"/>
    </xf>
    <xf numFmtId="164" fontId="22" fillId="11" borderId="15" xfId="4" applyNumberFormat="1" applyFont="1" applyFill="1" applyBorder="1" applyAlignment="1">
      <alignment horizontal="center" vertical="center" wrapText="1"/>
    </xf>
    <xf numFmtId="164" fontId="22" fillId="0" borderId="2" xfId="4" applyNumberFormat="1" applyFont="1" applyFill="1" applyBorder="1" applyAlignment="1">
      <alignment horizontal="center"/>
    </xf>
    <xf numFmtId="164" fontId="22" fillId="14" borderId="0" xfId="4" applyNumberFormat="1" applyFont="1" applyFill="1" applyAlignment="1">
      <alignment horizontal="center" vertical="center"/>
    </xf>
    <xf numFmtId="164" fontId="22" fillId="0" borderId="0" xfId="4" applyNumberFormat="1" applyFont="1" applyAlignment="1">
      <alignment horizontal="center" vertical="center"/>
    </xf>
    <xf numFmtId="164" fontId="29" fillId="14" borderId="10" xfId="4" applyNumberFormat="1" applyFont="1" applyFill="1" applyBorder="1" applyAlignment="1">
      <alignment horizontal="center"/>
    </xf>
    <xf numFmtId="164" fontId="29" fillId="0" borderId="10" xfId="4" applyNumberFormat="1" applyFont="1" applyBorder="1" applyAlignment="1">
      <alignment horizontal="center"/>
    </xf>
    <xf numFmtId="164" fontId="29" fillId="11" borderId="2" xfId="4" applyNumberFormat="1" applyFont="1" applyFill="1" applyBorder="1" applyAlignment="1">
      <alignment horizontal="center"/>
    </xf>
    <xf numFmtId="164" fontId="20" fillId="0" borderId="13" xfId="4" applyNumberFormat="1" applyFont="1" applyFill="1" applyBorder="1" applyAlignment="1">
      <alignment horizontal="center"/>
    </xf>
    <xf numFmtId="164" fontId="30" fillId="13" borderId="5" xfId="4" applyNumberFormat="1" applyFont="1" applyFill="1" applyBorder="1" applyAlignment="1">
      <alignment horizontal="center" vertical="center"/>
    </xf>
    <xf numFmtId="164" fontId="30" fillId="0" borderId="5" xfId="4" applyNumberFormat="1" applyFont="1" applyBorder="1" applyAlignment="1">
      <alignment horizontal="center" vertical="center"/>
    </xf>
    <xf numFmtId="164" fontId="32" fillId="13" borderId="4" xfId="4" applyNumberFormat="1" applyFont="1" applyFill="1" applyBorder="1" applyAlignment="1">
      <alignment horizontal="center"/>
    </xf>
    <xf numFmtId="164" fontId="31" fillId="11" borderId="2" xfId="4" applyNumberFormat="1" applyFont="1" applyFill="1" applyBorder="1" applyAlignment="1">
      <alignment horizontal="center"/>
    </xf>
    <xf numFmtId="164" fontId="22" fillId="0" borderId="12" xfId="4" applyNumberFormat="1" applyFont="1" applyBorder="1" applyAlignment="1">
      <alignment horizontal="center" vertical="top" wrapText="1"/>
    </xf>
    <xf numFmtId="164" fontId="22" fillId="14" borderId="12" xfId="4" applyNumberFormat="1" applyFont="1" applyFill="1" applyBorder="1" applyAlignment="1">
      <alignment horizontal="center" vertical="top" wrapText="1"/>
    </xf>
    <xf numFmtId="164" fontId="22" fillId="0" borderId="11" xfId="4" applyNumberFormat="1" applyFont="1" applyBorder="1" applyAlignment="1">
      <alignment horizontal="center" vertical="top" wrapText="1"/>
    </xf>
    <xf numFmtId="164" fontId="20" fillId="11" borderId="10" xfId="4" applyNumberFormat="1" applyFont="1" applyFill="1" applyBorder="1" applyAlignment="1">
      <alignment horizontal="center"/>
    </xf>
    <xf numFmtId="164" fontId="9" fillId="0" borderId="4" xfId="4" applyNumberFormat="1" applyFont="1" applyBorder="1" applyAlignment="1">
      <alignment horizontal="center"/>
    </xf>
    <xf numFmtId="164" fontId="9" fillId="0" borderId="4" xfId="4" applyNumberFormat="1" applyFont="1" applyBorder="1" applyAlignment="1">
      <alignment horizontal="center" wrapText="1"/>
    </xf>
    <xf numFmtId="164" fontId="29" fillId="13" borderId="5" xfId="4" applyNumberFormat="1" applyFont="1" applyFill="1" applyBorder="1" applyAlignment="1">
      <alignment horizontal="center" vertical="top" wrapText="1"/>
    </xf>
    <xf numFmtId="164" fontId="29" fillId="0" borderId="5" xfId="4" applyNumberFormat="1" applyFont="1" applyBorder="1" applyAlignment="1">
      <alignment horizontal="center" vertical="top" wrapText="1"/>
    </xf>
    <xf numFmtId="164" fontId="33" fillId="4" borderId="5" xfId="4" applyNumberFormat="1" applyFont="1" applyFill="1" applyBorder="1" applyAlignment="1">
      <alignment horizontal="center"/>
    </xf>
    <xf numFmtId="164" fontId="30" fillId="13" borderId="4" xfId="4" applyNumberFormat="1" applyFont="1" applyFill="1" applyBorder="1" applyAlignment="1">
      <alignment horizontal="center" vertical="top" wrapText="1"/>
    </xf>
    <xf numFmtId="164" fontId="30" fillId="13" borderId="5" xfId="4" applyNumberFormat="1" applyFont="1" applyFill="1" applyBorder="1" applyAlignment="1">
      <alignment horizontal="center" vertical="top" wrapText="1"/>
    </xf>
    <xf numFmtId="164" fontId="30" fillId="0" borderId="5" xfId="4" applyNumberFormat="1" applyFont="1" applyBorder="1" applyAlignment="1">
      <alignment horizontal="center" vertical="top" wrapText="1"/>
    </xf>
    <xf numFmtId="164" fontId="9" fillId="0" borderId="6" xfId="4" applyNumberFormat="1" applyFont="1" applyBorder="1" applyAlignment="1">
      <alignment horizontal="center" wrapText="1"/>
    </xf>
    <xf numFmtId="164" fontId="30" fillId="13" borderId="4" xfId="4" applyNumberFormat="1" applyFont="1" applyFill="1" applyBorder="1" applyAlignment="1">
      <alignment horizontal="center" vertical="top" shrinkToFit="1"/>
    </xf>
    <xf numFmtId="164" fontId="30" fillId="13" borderId="5" xfId="4" applyNumberFormat="1" applyFont="1" applyFill="1" applyBorder="1" applyAlignment="1">
      <alignment horizontal="center" vertical="top" shrinkToFit="1"/>
    </xf>
    <xf numFmtId="164" fontId="30" fillId="0" borderId="5" xfId="4" applyNumberFormat="1" applyFont="1" applyBorder="1" applyAlignment="1">
      <alignment horizontal="center" vertical="top" shrinkToFit="1"/>
    </xf>
    <xf numFmtId="164" fontId="9" fillId="0" borderId="4" xfId="4" applyNumberFormat="1" applyFont="1" applyBorder="1" applyAlignment="1">
      <alignment horizontal="center" vertical="center"/>
    </xf>
    <xf numFmtId="164" fontId="30" fillId="0" borderId="5" xfId="4" applyNumberFormat="1" applyFont="1" applyFill="1" applyBorder="1" applyAlignment="1">
      <alignment horizontal="center"/>
    </xf>
    <xf numFmtId="164" fontId="30" fillId="11" borderId="5" xfId="4" applyNumberFormat="1" applyFont="1" applyFill="1" applyBorder="1" applyAlignment="1">
      <alignment horizontal="center"/>
    </xf>
    <xf numFmtId="164" fontId="20" fillId="0" borderId="17" xfId="4" applyNumberFormat="1" applyFont="1" applyBorder="1" applyAlignment="1">
      <alignment horizontal="center"/>
    </xf>
    <xf numFmtId="164" fontId="20" fillId="0" borderId="5" xfId="4" applyNumberFormat="1" applyFont="1" applyFill="1" applyBorder="1" applyAlignment="1">
      <alignment horizontal="center"/>
    </xf>
    <xf numFmtId="164" fontId="20" fillId="11" borderId="5" xfId="4" applyNumberFormat="1" applyFont="1" applyFill="1" applyBorder="1" applyAlignment="1">
      <alignment horizontal="center"/>
    </xf>
    <xf numFmtId="164" fontId="30" fillId="14" borderId="0" xfId="4" applyNumberFormat="1" applyFont="1" applyFill="1" applyAlignment="1">
      <alignment horizontal="center"/>
    </xf>
    <xf numFmtId="164" fontId="20" fillId="11" borderId="0" xfId="4" applyNumberFormat="1" applyFont="1" applyFill="1" applyAlignment="1">
      <alignment horizontal="center"/>
    </xf>
    <xf numFmtId="164" fontId="20" fillId="7" borderId="5" xfId="4" applyNumberFormat="1" applyFont="1" applyFill="1" applyBorder="1" applyAlignment="1">
      <alignment horizontal="center"/>
    </xf>
    <xf numFmtId="164" fontId="20" fillId="14" borderId="18" xfId="4" applyNumberFormat="1" applyFont="1" applyFill="1" applyBorder="1" applyAlignment="1">
      <alignment horizontal="center"/>
    </xf>
    <xf numFmtId="164" fontId="20" fillId="0" borderId="19" xfId="4" applyNumberFormat="1" applyFont="1" applyBorder="1" applyAlignment="1">
      <alignment horizontal="center"/>
    </xf>
    <xf numFmtId="164" fontId="20" fillId="11" borderId="20" xfId="4" applyNumberFormat="1" applyFont="1" applyFill="1" applyBorder="1" applyAlignment="1">
      <alignment horizontal="center"/>
    </xf>
    <xf numFmtId="164" fontId="22" fillId="13" borderId="5" xfId="4" applyNumberFormat="1" applyFont="1" applyFill="1" applyBorder="1" applyAlignment="1">
      <alignment horizontal="center"/>
    </xf>
    <xf numFmtId="164" fontId="22" fillId="0" borderId="5" xfId="4" applyNumberFormat="1" applyFont="1" applyBorder="1" applyAlignment="1">
      <alignment horizontal="center"/>
    </xf>
    <xf numFmtId="164" fontId="9" fillId="0" borderId="6" xfId="4" applyNumberFormat="1" applyFont="1" applyBorder="1" applyAlignment="1">
      <alignment horizontal="center" vertical="center"/>
    </xf>
    <xf numFmtId="164" fontId="30" fillId="0" borderId="4" xfId="4" applyNumberFormat="1" applyFont="1" applyFill="1" applyBorder="1" applyAlignment="1">
      <alignment horizontal="center"/>
    </xf>
    <xf numFmtId="164" fontId="22" fillId="11" borderId="0" xfId="4" applyNumberFormat="1" applyFont="1" applyFill="1" applyAlignment="1">
      <alignment horizontal="center" vertical="center"/>
    </xf>
    <xf numFmtId="164" fontId="20" fillId="11" borderId="10" xfId="4" applyNumberFormat="1" applyFont="1" applyFill="1" applyBorder="1" applyAlignment="1">
      <alignment horizontal="center" vertical="center"/>
    </xf>
    <xf numFmtId="164" fontId="31" fillId="13" borderId="5" xfId="4" applyNumberFormat="1" applyFont="1" applyFill="1" applyBorder="1" applyAlignment="1">
      <alignment horizontal="center"/>
    </xf>
    <xf numFmtId="164" fontId="31" fillId="12" borderId="0" xfId="4" applyNumberFormat="1" applyFont="1" applyFill="1" applyAlignment="1">
      <alignment horizontal="center"/>
    </xf>
    <xf numFmtId="164" fontId="31" fillId="12" borderId="5" xfId="4" applyNumberFormat="1" applyFont="1" applyFill="1" applyBorder="1" applyAlignment="1">
      <alignment horizontal="center"/>
    </xf>
    <xf numFmtId="164" fontId="31" fillId="11" borderId="0" xfId="4" applyNumberFormat="1" applyFont="1" applyFill="1" applyAlignment="1">
      <alignment horizontal="center"/>
    </xf>
    <xf numFmtId="164" fontId="22" fillId="11" borderId="21" xfId="4" applyNumberFormat="1" applyFont="1" applyFill="1" applyBorder="1" applyAlignment="1">
      <alignment horizontal="center"/>
    </xf>
    <xf numFmtId="164" fontId="20" fillId="14" borderId="22" xfId="4" applyNumberFormat="1" applyFont="1" applyFill="1" applyBorder="1" applyAlignment="1">
      <alignment horizontal="center"/>
    </xf>
    <xf numFmtId="164" fontId="30" fillId="0" borderId="5" xfId="4" applyNumberFormat="1" applyFont="1" applyFill="1" applyBorder="1" applyAlignment="1">
      <alignment horizontal="center" vertical="center"/>
    </xf>
    <xf numFmtId="164" fontId="34" fillId="14" borderId="2" xfId="4" applyNumberFormat="1" applyFont="1" applyFill="1" applyBorder="1" applyAlignment="1">
      <alignment horizontal="center"/>
    </xf>
    <xf numFmtId="164" fontId="34" fillId="0" borderId="2" xfId="4" applyNumberFormat="1" applyFont="1" applyBorder="1" applyAlignment="1">
      <alignment horizontal="center"/>
    </xf>
    <xf numFmtId="164" fontId="34" fillId="11" borderId="2" xfId="4" applyNumberFormat="1" applyFont="1" applyFill="1" applyBorder="1" applyAlignment="1">
      <alignment horizontal="center"/>
    </xf>
    <xf numFmtId="164" fontId="30" fillId="11" borderId="10" xfId="4" applyNumberFormat="1" applyFont="1" applyFill="1" applyBorder="1" applyAlignment="1">
      <alignment horizontal="center"/>
    </xf>
    <xf numFmtId="164" fontId="30" fillId="14" borderId="0" xfId="4" applyNumberFormat="1" applyFont="1" applyFill="1" applyAlignment="1">
      <alignment horizontal="center" vertical="center"/>
    </xf>
    <xf numFmtId="164" fontId="30" fillId="11" borderId="0" xfId="4" applyNumberFormat="1" applyFont="1" applyFill="1" applyAlignment="1">
      <alignment horizontal="center" vertical="center"/>
    </xf>
    <xf numFmtId="164" fontId="30" fillId="14" borderId="0" xfId="4" applyNumberFormat="1" applyFont="1" applyFill="1" applyBorder="1" applyAlignment="1">
      <alignment horizontal="center"/>
    </xf>
    <xf numFmtId="164" fontId="30" fillId="0" borderId="0" xfId="4" applyNumberFormat="1" applyFont="1" applyFill="1" applyBorder="1" applyAlignment="1">
      <alignment horizontal="center"/>
    </xf>
    <xf numFmtId="164" fontId="20" fillId="13" borderId="5" xfId="4" applyNumberFormat="1" applyFont="1" applyFill="1" applyBorder="1" applyAlignment="1">
      <alignment horizontal="center" vertical="top"/>
    </xf>
    <xf numFmtId="164" fontId="20" fillId="0" borderId="5" xfId="4" applyNumberFormat="1" applyFont="1" applyBorder="1" applyAlignment="1">
      <alignment horizontal="center" vertical="top"/>
    </xf>
    <xf numFmtId="164" fontId="9" fillId="0" borderId="5" xfId="4" applyNumberFormat="1" applyFont="1" applyBorder="1" applyAlignment="1">
      <alignment horizontal="center" vertical="center" wrapText="1"/>
    </xf>
    <xf numFmtId="164" fontId="30" fillId="14" borderId="10" xfId="4" applyNumberFormat="1" applyFont="1" applyFill="1" applyBorder="1" applyAlignment="1">
      <alignment horizontal="center" vertical="center"/>
    </xf>
    <xf numFmtId="164" fontId="30" fillId="0" borderId="10" xfId="4" applyNumberFormat="1" applyFont="1" applyFill="1" applyBorder="1" applyAlignment="1">
      <alignment horizontal="center" vertical="center"/>
    </xf>
    <xf numFmtId="164" fontId="29" fillId="14" borderId="10" xfId="4" applyNumberFormat="1" applyFont="1" applyFill="1" applyBorder="1" applyAlignment="1">
      <alignment horizontal="center" vertical="center"/>
    </xf>
    <xf numFmtId="164" fontId="29" fillId="0" borderId="10" xfId="4" applyNumberFormat="1" applyFont="1" applyBorder="1" applyAlignment="1">
      <alignment horizontal="center" vertical="center"/>
    </xf>
    <xf numFmtId="164" fontId="29" fillId="11" borderId="2" xfId="4" applyNumberFormat="1" applyFont="1" applyFill="1" applyBorder="1" applyAlignment="1">
      <alignment horizontal="center" vertical="center"/>
    </xf>
    <xf numFmtId="164" fontId="34" fillId="14" borderId="10" xfId="4" applyNumberFormat="1" applyFont="1" applyFill="1" applyBorder="1" applyAlignment="1">
      <alignment horizontal="center"/>
    </xf>
    <xf numFmtId="164" fontId="34" fillId="0" borderId="10" xfId="4" applyNumberFormat="1" applyFont="1" applyBorder="1" applyAlignment="1">
      <alignment horizontal="center"/>
    </xf>
    <xf numFmtId="164" fontId="20" fillId="14" borderId="13" xfId="4" applyNumberFormat="1" applyFont="1" applyFill="1" applyBorder="1" applyAlignment="1">
      <alignment horizontal="center"/>
    </xf>
    <xf numFmtId="164" fontId="30" fillId="14" borderId="2" xfId="4" applyNumberFormat="1" applyFont="1" applyFill="1" applyBorder="1" applyAlignment="1">
      <alignment horizontal="center"/>
    </xf>
    <xf numFmtId="164" fontId="30" fillId="0" borderId="2" xfId="4" applyNumberFormat="1" applyFont="1" applyBorder="1" applyAlignment="1">
      <alignment horizontal="center"/>
    </xf>
    <xf numFmtId="164" fontId="30" fillId="11" borderId="2" xfId="4" applyNumberFormat="1" applyFont="1" applyFill="1" applyBorder="1" applyAlignment="1">
      <alignment horizontal="center"/>
    </xf>
    <xf numFmtId="164" fontId="9" fillId="11" borderId="2" xfId="4" applyNumberFormat="1" applyFont="1" applyFill="1" applyBorder="1" applyAlignment="1">
      <alignment horizontal="center"/>
    </xf>
    <xf numFmtId="164" fontId="30" fillId="0" borderId="10" xfId="4" applyNumberFormat="1" applyFont="1" applyBorder="1" applyAlignment="1">
      <alignment horizontal="center"/>
    </xf>
    <xf numFmtId="164" fontId="30" fillId="14" borderId="10" xfId="4" applyNumberFormat="1" applyFont="1" applyFill="1" applyBorder="1" applyAlignment="1">
      <alignment horizontal="center"/>
    </xf>
    <xf numFmtId="164" fontId="30" fillId="14" borderId="11" xfId="4" applyNumberFormat="1" applyFont="1" applyFill="1" applyBorder="1" applyAlignment="1">
      <alignment horizontal="center" vertical="top" wrapText="1"/>
    </xf>
    <xf numFmtId="0" fontId="0" fillId="11" borderId="0" xfId="0" applyFill="1"/>
    <xf numFmtId="0" fontId="6" fillId="12" borderId="2" xfId="0" applyFont="1" applyFill="1" applyBorder="1"/>
    <xf numFmtId="164" fontId="0" fillId="0" borderId="0" xfId="0" applyNumberFormat="1"/>
    <xf numFmtId="164" fontId="16" fillId="12" borderId="2" xfId="4" applyNumberFormat="1" applyFont="1" applyFill="1" applyBorder="1"/>
    <xf numFmtId="0" fontId="16" fillId="12" borderId="2" xfId="0" applyFont="1" applyFill="1" applyBorder="1"/>
    <xf numFmtId="0" fontId="0" fillId="12" borderId="0" xfId="0" applyFill="1"/>
    <xf numFmtId="164" fontId="26" fillId="0" borderId="0" xfId="0" applyNumberFormat="1" applyFont="1"/>
    <xf numFmtId="164" fontId="0" fillId="11" borderId="0" xfId="0" applyNumberFormat="1" applyFill="1"/>
    <xf numFmtId="164" fontId="27" fillId="11" borderId="0" xfId="0" applyNumberFormat="1" applyFont="1" applyFill="1"/>
    <xf numFmtId="164" fontId="0" fillId="11" borderId="0" xfId="4" applyNumberFormat="1" applyFont="1" applyFill="1"/>
    <xf numFmtId="164" fontId="28" fillId="11" borderId="0" xfId="4" applyNumberFormat="1" applyFont="1" applyFill="1"/>
    <xf numFmtId="164" fontId="40" fillId="10" borderId="2" xfId="4" applyNumberFormat="1" applyFont="1" applyFill="1" applyBorder="1"/>
    <xf numFmtId="164" fontId="41" fillId="10" borderId="2" xfId="4" applyNumberFormat="1" applyFont="1" applyFill="1" applyBorder="1"/>
    <xf numFmtId="164" fontId="41" fillId="17" borderId="2" xfId="4" applyNumberFormat="1" applyFont="1" applyFill="1" applyBorder="1"/>
    <xf numFmtId="164" fontId="41" fillId="11" borderId="2" xfId="4" applyNumberFormat="1" applyFont="1" applyFill="1" applyBorder="1"/>
    <xf numFmtId="0" fontId="11" fillId="0" borderId="1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11" fillId="0" borderId="5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1" fillId="0" borderId="5" xfId="0" applyFont="1" applyBorder="1" applyAlignment="1">
      <alignment horizontal="justify" vertical="center" wrapText="1"/>
    </xf>
    <xf numFmtId="0" fontId="11" fillId="16" borderId="1" xfId="0" applyFont="1" applyFill="1" applyBorder="1" applyAlignment="1">
      <alignment horizontal="center"/>
    </xf>
    <xf numFmtId="0" fontId="2" fillId="5" borderId="4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35" fillId="5" borderId="2" xfId="0" applyFont="1" applyFill="1" applyBorder="1" applyAlignment="1">
      <alignment horizontal="center"/>
    </xf>
  </cellXfs>
  <cellStyles count="5">
    <cellStyle name="Comma" xfId="4" builtinId="3"/>
    <cellStyle name="Normal" xfId="0" builtinId="0"/>
    <cellStyle name="Normal 2" xfId="1" xr:uid="{00000000-0005-0000-0000-000002000000}"/>
    <cellStyle name="Style 1" xfId="2" xr:uid="{00000000-0005-0000-0000-000003000000}"/>
    <cellStyle name="Style 1 2" xfId="3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NULL" TargetMode="External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NULL" TargetMode="External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0</xdr:colOff>
      <xdr:row>173</xdr:row>
      <xdr:rowOff>6350</xdr:rowOff>
    </xdr:from>
    <xdr:to>
      <xdr:col>11</xdr:col>
      <xdr:colOff>482682</xdr:colOff>
      <xdr:row>173</xdr:row>
      <xdr:rowOff>6350</xdr:rowOff>
    </xdr:to>
    <xdr:cxnSp macro="">
      <xdr:nvCxnSpPr>
        <xdr:cNvPr id="8" name="Straight Connector 7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CxnSpPr/>
      </xdr:nvCxnSpPr>
      <xdr:spPr>
        <a:xfrm>
          <a:off x="10363200" y="65455800"/>
          <a:ext cx="2174875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rgbClr val="FFFFFF"/>
        </a:fillRef>
        <a:effectRef idx="0">
          <a:srgbClr val="FFFFFF"/>
        </a:effectRef>
        <a:fontRef idx="minor">
          <a:schemeClr val="tx1"/>
        </a:fontRef>
      </xdr:style>
    </xdr:cxnSp>
    <xdr:clientData/>
  </xdr:twoCellAnchor>
  <xdr:twoCellAnchor editAs="oneCell">
    <xdr:from>
      <xdr:col>15</xdr:col>
      <xdr:colOff>0</xdr:colOff>
      <xdr:row>173</xdr:row>
      <xdr:rowOff>6350</xdr:rowOff>
    </xdr:from>
    <xdr:to>
      <xdr:col>17</xdr:col>
      <xdr:colOff>202061</xdr:colOff>
      <xdr:row>173</xdr:row>
      <xdr:rowOff>6350</xdr:rowOff>
    </xdr:to>
    <xdr:cxnSp macro="">
      <xdr:nvCxnSpPr>
        <xdr:cNvPr id="9" name="Straight Connector 8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CxnSpPr/>
      </xdr:nvCxnSpPr>
      <xdr:spPr>
        <a:xfrm>
          <a:off x="19189700" y="65455800"/>
          <a:ext cx="2170887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rgbClr val="FFFFFF"/>
        </a:fillRef>
        <a:effectRef idx="0">
          <a:srgbClr val="FFFFFF"/>
        </a:effectRef>
        <a:fontRef idx="minor">
          <a:schemeClr val="tx1"/>
        </a:fontRef>
      </xdr:style>
    </xdr:cxnSp>
    <xdr:clientData/>
  </xdr:twoCellAnchor>
  <xdr:twoCellAnchor editAs="oneCell">
    <xdr:from>
      <xdr:col>21</xdr:col>
      <xdr:colOff>0</xdr:colOff>
      <xdr:row>173</xdr:row>
      <xdr:rowOff>6350</xdr:rowOff>
    </xdr:from>
    <xdr:to>
      <xdr:col>23</xdr:col>
      <xdr:colOff>67090</xdr:colOff>
      <xdr:row>173</xdr:row>
      <xdr:rowOff>6350</xdr:rowOff>
    </xdr:to>
    <xdr:cxnSp macro="">
      <xdr:nvCxnSpPr>
        <xdr:cNvPr id="10" name="Straight Connector 9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CxnSpPr/>
      </xdr:nvCxnSpPr>
      <xdr:spPr>
        <a:xfrm>
          <a:off x="30372050" y="65455800"/>
          <a:ext cx="2165198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rgbClr val="FFFFFF"/>
        </a:fillRef>
        <a:effectRef idx="0">
          <a:srgbClr val="FFFFFF"/>
        </a:effectRef>
        <a:fontRef idx="minor">
          <a:schemeClr val="tx1"/>
        </a:fontRef>
      </xdr:style>
    </xdr:cxnSp>
    <xdr:clientData/>
  </xdr:twoCellAnchor>
  <xdr:twoCellAnchor editAs="oneCell">
    <xdr:from>
      <xdr:col>9</xdr:col>
      <xdr:colOff>0</xdr:colOff>
      <xdr:row>173</xdr:row>
      <xdr:rowOff>0</xdr:rowOff>
    </xdr:from>
    <xdr:to>
      <xdr:col>11</xdr:col>
      <xdr:colOff>441407</xdr:colOff>
      <xdr:row>173</xdr:row>
      <xdr:rowOff>12700</xdr:rowOff>
    </xdr:to>
    <xdr:pic>
      <xdr:nvPicPr>
        <xdr:cNvPr id="11" name="Straight Connector 5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/>
      </xdr:nvPicPr>
      <xdr:blipFill>
        <a:blip xmlns:r="http://schemas.openxmlformats.org/officeDocument/2006/relationships" r:embed="rId1" r:link="rId2"/>
        <a:stretch>
          <a:fillRect/>
        </a:stretch>
      </xdr:blipFill>
      <xdr:spPr>
        <a:xfrm>
          <a:off x="10363200" y="65449450"/>
          <a:ext cx="2133600" cy="127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15</xdr:col>
      <xdr:colOff>0</xdr:colOff>
      <xdr:row>173</xdr:row>
      <xdr:rowOff>0</xdr:rowOff>
    </xdr:from>
    <xdr:to>
      <xdr:col>17</xdr:col>
      <xdr:colOff>154436</xdr:colOff>
      <xdr:row>173</xdr:row>
      <xdr:rowOff>12700</xdr:rowOff>
    </xdr:to>
    <xdr:pic>
      <xdr:nvPicPr>
        <xdr:cNvPr id="12" name="Straight Connector 6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/>
      </xdr:nvPicPr>
      <xdr:blipFill>
        <a:blip xmlns:r="http://schemas.openxmlformats.org/officeDocument/2006/relationships" r:embed="rId1" r:link="rId2"/>
        <a:stretch>
          <a:fillRect/>
        </a:stretch>
      </xdr:blipFill>
      <xdr:spPr>
        <a:xfrm>
          <a:off x="19189700" y="65449450"/>
          <a:ext cx="2123262" cy="127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21</xdr:col>
      <xdr:colOff>0</xdr:colOff>
      <xdr:row>173</xdr:row>
      <xdr:rowOff>0</xdr:rowOff>
    </xdr:from>
    <xdr:to>
      <xdr:col>23</xdr:col>
      <xdr:colOff>25815</xdr:colOff>
      <xdr:row>173</xdr:row>
      <xdr:rowOff>12700</xdr:rowOff>
    </xdr:to>
    <xdr:pic>
      <xdr:nvPicPr>
        <xdr:cNvPr id="13" name="Straight Connector 7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/>
      </xdr:nvPicPr>
      <xdr:blipFill>
        <a:blip xmlns:r="http://schemas.openxmlformats.org/officeDocument/2006/relationships" r:embed="rId1" r:link="rId2"/>
        <a:stretch>
          <a:fillRect/>
        </a:stretch>
      </xdr:blipFill>
      <xdr:spPr>
        <a:xfrm>
          <a:off x="30372050" y="65449450"/>
          <a:ext cx="2123923" cy="127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9</xdr:col>
      <xdr:colOff>0</xdr:colOff>
      <xdr:row>173</xdr:row>
      <xdr:rowOff>6350</xdr:rowOff>
    </xdr:from>
    <xdr:to>
      <xdr:col>11</xdr:col>
      <xdr:colOff>454107</xdr:colOff>
      <xdr:row>173</xdr:row>
      <xdr:rowOff>6350</xdr:rowOff>
    </xdr:to>
    <xdr:cxnSp macro="">
      <xdr:nvCxnSpPr>
        <xdr:cNvPr id="26" name="Straight Connector 25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CxnSpPr/>
      </xdr:nvCxnSpPr>
      <xdr:spPr>
        <a:xfrm>
          <a:off x="8867775" y="64738250"/>
          <a:ext cx="2089150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rgbClr val="FFFFFF"/>
        </a:fillRef>
        <a:effectRef idx="0">
          <a:srgbClr val="FFFFFF"/>
        </a:effectRef>
        <a:fontRef idx="minor">
          <a:schemeClr val="tx1"/>
        </a:fontRef>
      </xdr:style>
    </xdr:cxnSp>
    <xdr:clientData/>
  </xdr:twoCellAnchor>
  <xdr:twoCellAnchor editAs="oneCell">
    <xdr:from>
      <xdr:col>15</xdr:col>
      <xdr:colOff>0</xdr:colOff>
      <xdr:row>173</xdr:row>
      <xdr:rowOff>6350</xdr:rowOff>
    </xdr:from>
    <xdr:to>
      <xdr:col>17</xdr:col>
      <xdr:colOff>202062</xdr:colOff>
      <xdr:row>173</xdr:row>
      <xdr:rowOff>6350</xdr:rowOff>
    </xdr:to>
    <xdr:cxnSp macro="">
      <xdr:nvCxnSpPr>
        <xdr:cNvPr id="27" name="Straight Connector 26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CxnSpPr/>
      </xdr:nvCxnSpPr>
      <xdr:spPr>
        <a:xfrm>
          <a:off x="14535150" y="64738250"/>
          <a:ext cx="2062938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rgbClr val="FFFFFF"/>
        </a:fillRef>
        <a:effectRef idx="0">
          <a:srgbClr val="FFFFFF"/>
        </a:effectRef>
        <a:fontRef idx="minor">
          <a:schemeClr val="tx1"/>
        </a:fontRef>
      </xdr:style>
    </xdr:cxnSp>
    <xdr:clientData/>
  </xdr:twoCellAnchor>
  <xdr:twoCellAnchor editAs="oneCell">
    <xdr:from>
      <xdr:col>21</xdr:col>
      <xdr:colOff>0</xdr:colOff>
      <xdr:row>173</xdr:row>
      <xdr:rowOff>6350</xdr:rowOff>
    </xdr:from>
    <xdr:to>
      <xdr:col>23</xdr:col>
      <xdr:colOff>67091</xdr:colOff>
      <xdr:row>173</xdr:row>
      <xdr:rowOff>6350</xdr:rowOff>
    </xdr:to>
    <xdr:cxnSp macro="">
      <xdr:nvCxnSpPr>
        <xdr:cNvPr id="28" name="Straight Connector 27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CxnSpPr/>
      </xdr:nvCxnSpPr>
      <xdr:spPr>
        <a:xfrm>
          <a:off x="21840825" y="64738250"/>
          <a:ext cx="2058306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rgbClr val="FFFFFF"/>
        </a:fillRef>
        <a:effectRef idx="0">
          <a:srgbClr val="FFFFFF"/>
        </a:effectRef>
        <a:fontRef idx="minor">
          <a:schemeClr val="tx1"/>
        </a:fontRef>
      </xdr:style>
    </xdr:cxnSp>
    <xdr:clientData/>
  </xdr:twoCellAnchor>
  <xdr:twoCellAnchor editAs="oneCell">
    <xdr:from>
      <xdr:col>9</xdr:col>
      <xdr:colOff>0</xdr:colOff>
      <xdr:row>173</xdr:row>
      <xdr:rowOff>0</xdr:rowOff>
    </xdr:from>
    <xdr:to>
      <xdr:col>11</xdr:col>
      <xdr:colOff>412832</xdr:colOff>
      <xdr:row>173</xdr:row>
      <xdr:rowOff>12700</xdr:rowOff>
    </xdr:to>
    <xdr:pic>
      <xdr:nvPicPr>
        <xdr:cNvPr id="29" name="Straight Connector 5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/>
      </xdr:nvPicPr>
      <xdr:blipFill>
        <a:blip xmlns:r="http://schemas.openxmlformats.org/officeDocument/2006/relationships" r:embed="rId1" r:link="rId2"/>
        <a:stretch>
          <a:fillRect/>
        </a:stretch>
      </xdr:blipFill>
      <xdr:spPr>
        <a:xfrm>
          <a:off x="8867775" y="64731900"/>
          <a:ext cx="2047875" cy="127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15</xdr:col>
      <xdr:colOff>0</xdr:colOff>
      <xdr:row>173</xdr:row>
      <xdr:rowOff>0</xdr:rowOff>
    </xdr:from>
    <xdr:to>
      <xdr:col>17</xdr:col>
      <xdr:colOff>154437</xdr:colOff>
      <xdr:row>173</xdr:row>
      <xdr:rowOff>12700</xdr:rowOff>
    </xdr:to>
    <xdr:pic>
      <xdr:nvPicPr>
        <xdr:cNvPr id="30" name="Straight Connector 6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/>
      </xdr:nvPicPr>
      <xdr:blipFill>
        <a:blip xmlns:r="http://schemas.openxmlformats.org/officeDocument/2006/relationships" r:embed="rId1" r:link="rId2"/>
        <a:stretch>
          <a:fillRect/>
        </a:stretch>
      </xdr:blipFill>
      <xdr:spPr>
        <a:xfrm>
          <a:off x="14535150" y="64731900"/>
          <a:ext cx="2015313" cy="127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21</xdr:col>
      <xdr:colOff>0</xdr:colOff>
      <xdr:row>173</xdr:row>
      <xdr:rowOff>0</xdr:rowOff>
    </xdr:from>
    <xdr:to>
      <xdr:col>23</xdr:col>
      <xdr:colOff>25816</xdr:colOff>
      <xdr:row>173</xdr:row>
      <xdr:rowOff>12700</xdr:rowOff>
    </xdr:to>
    <xdr:pic>
      <xdr:nvPicPr>
        <xdr:cNvPr id="31" name="Straight Connector 7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/>
      </xdr:nvPicPr>
      <xdr:blipFill>
        <a:blip xmlns:r="http://schemas.openxmlformats.org/officeDocument/2006/relationships" r:embed="rId1" r:link="rId2"/>
        <a:stretch>
          <a:fillRect/>
        </a:stretch>
      </xdr:blipFill>
      <xdr:spPr>
        <a:xfrm>
          <a:off x="21840825" y="64731900"/>
          <a:ext cx="2017031" cy="127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24</xdr:col>
      <xdr:colOff>526383</xdr:colOff>
      <xdr:row>260</xdr:row>
      <xdr:rowOff>225592</xdr:rowOff>
    </xdr:from>
    <xdr:to>
      <xdr:col>25</xdr:col>
      <xdr:colOff>50132</xdr:colOff>
      <xdr:row>261</xdr:row>
      <xdr:rowOff>175460</xdr:rowOff>
    </xdr:to>
    <xdr:cxnSp macro="">
      <xdr:nvCxnSpPr>
        <xdr:cNvPr id="32" name="Straight Connector 31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CxnSpPr/>
      </xdr:nvCxnSpPr>
      <xdr:spPr>
        <a:xfrm flipV="1">
          <a:off x="29815758" y="9560092"/>
          <a:ext cx="133349" cy="216568"/>
        </a:xfrm>
        <a:prstGeom prst="line">
          <a:avLst/>
        </a:prstGeom>
        <a:ln w="6350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6350</xdr:colOff>
      <xdr:row>173</xdr:row>
      <xdr:rowOff>6350</xdr:rowOff>
    </xdr:from>
    <xdr:to>
      <xdr:col>15</xdr:col>
      <xdr:colOff>838476</xdr:colOff>
      <xdr:row>173</xdr:row>
      <xdr:rowOff>6350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CxnSpPr/>
      </xdr:nvCxnSpPr>
      <xdr:spPr>
        <a:xfrm>
          <a:off x="10153650" y="64465200"/>
          <a:ext cx="2200551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rgbClr val="FFFFFF"/>
        </a:fillRef>
        <a:effectRef idx="0">
          <a:srgbClr val="FFFFFF"/>
        </a:effectRef>
        <a:fontRef idx="minor">
          <a:schemeClr val="tx1"/>
        </a:fontRef>
      </xdr:style>
    </xdr:cxnSp>
    <xdr:clientData/>
  </xdr:twoCellAnchor>
  <xdr:twoCellAnchor editAs="oneCell">
    <xdr:from>
      <xdr:col>13</xdr:col>
      <xdr:colOff>6350</xdr:colOff>
      <xdr:row>173</xdr:row>
      <xdr:rowOff>0</xdr:rowOff>
    </xdr:from>
    <xdr:to>
      <xdr:col>15</xdr:col>
      <xdr:colOff>797201</xdr:colOff>
      <xdr:row>173</xdr:row>
      <xdr:rowOff>12700</xdr:rowOff>
    </xdr:to>
    <xdr:pic>
      <xdr:nvPicPr>
        <xdr:cNvPr id="3" name="Straight Connector 5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/>
      </xdr:nvPicPr>
      <xdr:blipFill>
        <a:blip xmlns:r="http://schemas.openxmlformats.org/officeDocument/2006/relationships" r:embed="rId1" r:link="rId2"/>
        <a:stretch>
          <a:fillRect/>
        </a:stretch>
      </xdr:blipFill>
      <xdr:spPr>
        <a:xfrm>
          <a:off x="10153650" y="64458850"/>
          <a:ext cx="2159276" cy="127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25</xdr:col>
      <xdr:colOff>6350</xdr:colOff>
      <xdr:row>173</xdr:row>
      <xdr:rowOff>6350</xdr:rowOff>
    </xdr:from>
    <xdr:to>
      <xdr:col>28</xdr:col>
      <xdr:colOff>219352</xdr:colOff>
      <xdr:row>173</xdr:row>
      <xdr:rowOff>6350</xdr:rowOff>
    </xdr:to>
    <xdr:cxnSp macro="">
      <xdr:nvCxnSpPr>
        <xdr:cNvPr id="4" name="Straight Connector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CxnSpPr/>
      </xdr:nvCxnSpPr>
      <xdr:spPr>
        <a:xfrm>
          <a:off x="17468850" y="64465200"/>
          <a:ext cx="2200551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rgbClr val="FFFFFF"/>
        </a:fillRef>
        <a:effectRef idx="0">
          <a:srgbClr val="FFFFFF"/>
        </a:effectRef>
        <a:fontRef idx="minor">
          <a:schemeClr val="tx1"/>
        </a:fontRef>
      </xdr:style>
    </xdr:cxnSp>
    <xdr:clientData/>
  </xdr:twoCellAnchor>
  <xdr:twoCellAnchor editAs="oneCell">
    <xdr:from>
      <xdr:col>25</xdr:col>
      <xdr:colOff>6350</xdr:colOff>
      <xdr:row>173</xdr:row>
      <xdr:rowOff>0</xdr:rowOff>
    </xdr:from>
    <xdr:to>
      <xdr:col>28</xdr:col>
      <xdr:colOff>171727</xdr:colOff>
      <xdr:row>173</xdr:row>
      <xdr:rowOff>12700</xdr:rowOff>
    </xdr:to>
    <xdr:pic>
      <xdr:nvPicPr>
        <xdr:cNvPr id="5" name="Straight Connector 6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PicPr/>
      </xdr:nvPicPr>
      <xdr:blipFill>
        <a:blip xmlns:r="http://schemas.openxmlformats.org/officeDocument/2006/relationships" r:embed="rId1" r:link="rId2"/>
        <a:stretch>
          <a:fillRect/>
        </a:stretch>
      </xdr:blipFill>
      <xdr:spPr>
        <a:xfrm>
          <a:off x="17468850" y="64458850"/>
          <a:ext cx="2152926" cy="1270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267"/>
  <sheetViews>
    <sheetView topLeftCell="A160" zoomScale="71" zoomScaleNormal="30" workbookViewId="0">
      <selection activeCell="B164" sqref="B164"/>
    </sheetView>
  </sheetViews>
  <sheetFormatPr defaultRowHeight="15" x14ac:dyDescent="0.25"/>
  <cols>
    <col min="1" max="1" width="8.7109375" style="6"/>
    <col min="2" max="2" width="23.42578125" style="6" bestFit="1" customWidth="1"/>
    <col min="3" max="3" width="66.140625" style="6" customWidth="1"/>
    <col min="4" max="5" width="11.5703125" style="19" bestFit="1" customWidth="1"/>
    <col min="6" max="6" width="8.85546875" style="19" bestFit="1" customWidth="1"/>
    <col min="7" max="8" width="11.5703125" bestFit="1" customWidth="1"/>
    <col min="9" max="9" width="8.85546875" bestFit="1" customWidth="1"/>
    <col min="10" max="11" width="11.5703125" style="19" bestFit="1" customWidth="1"/>
    <col min="12" max="12" width="8.85546875" style="19" bestFit="1" customWidth="1"/>
    <col min="13" max="14" width="12.28515625" bestFit="1" customWidth="1"/>
    <col min="15" max="15" width="11.85546875" bestFit="1" customWidth="1"/>
    <col min="16" max="17" width="13.85546875" style="19" bestFit="1" customWidth="1"/>
    <col min="18" max="18" width="14.140625" style="19" bestFit="1" customWidth="1"/>
    <col min="19" max="20" width="14.140625" bestFit="1" customWidth="1"/>
    <col min="21" max="21" width="13.42578125" bestFit="1" customWidth="1"/>
    <col min="22" max="22" width="15.28515625" style="22" bestFit="1" customWidth="1"/>
    <col min="23" max="23" width="14.5703125" style="22" bestFit="1" customWidth="1"/>
    <col min="24" max="24" width="13.85546875" style="22" bestFit="1" customWidth="1"/>
    <col min="25" max="25" width="9.140625" customWidth="1"/>
    <col min="26" max="26" width="9.5703125" bestFit="1" customWidth="1"/>
  </cols>
  <sheetData>
    <row r="1" spans="1:26" s="20" customFormat="1" ht="21" x14ac:dyDescent="0.35">
      <c r="A1" s="21" t="s">
        <v>0</v>
      </c>
      <c r="B1" s="318" t="s">
        <v>664</v>
      </c>
      <c r="C1" s="147" t="s">
        <v>665</v>
      </c>
      <c r="D1" s="148" t="s">
        <v>666</v>
      </c>
      <c r="E1" s="149" t="s">
        <v>667</v>
      </c>
      <c r="F1" s="149" t="s">
        <v>668</v>
      </c>
      <c r="G1" s="148" t="s">
        <v>669</v>
      </c>
      <c r="H1" s="149" t="s">
        <v>670</v>
      </c>
      <c r="I1" s="149" t="s">
        <v>671</v>
      </c>
      <c r="J1" s="148" t="s">
        <v>672</v>
      </c>
      <c r="K1" s="149" t="s">
        <v>673</v>
      </c>
      <c r="L1" s="149" t="s">
        <v>674</v>
      </c>
      <c r="M1" s="148" t="s">
        <v>675</v>
      </c>
      <c r="N1" s="149" t="s">
        <v>676</v>
      </c>
      <c r="O1" s="149" t="s">
        <v>677</v>
      </c>
      <c r="P1" s="148" t="s">
        <v>678</v>
      </c>
      <c r="Q1" s="149" t="s">
        <v>679</v>
      </c>
      <c r="R1" s="149" t="s">
        <v>680</v>
      </c>
      <c r="S1" s="148" t="s">
        <v>681</v>
      </c>
      <c r="T1" s="149" t="s">
        <v>682</v>
      </c>
      <c r="U1" s="149" t="s">
        <v>683</v>
      </c>
      <c r="V1" s="150" t="s">
        <v>684</v>
      </c>
      <c r="W1" s="150" t="s">
        <v>685</v>
      </c>
      <c r="X1" s="150" t="s">
        <v>686</v>
      </c>
      <c r="Y1" s="151" t="s">
        <v>687</v>
      </c>
      <c r="Z1" s="151" t="s">
        <v>688</v>
      </c>
    </row>
    <row r="2" spans="1:26" ht="21" x14ac:dyDescent="0.35">
      <c r="A2" s="7">
        <v>1</v>
      </c>
      <c r="B2" s="313" t="s">
        <v>689</v>
      </c>
      <c r="C2" s="152" t="s">
        <v>340</v>
      </c>
      <c r="D2" s="153">
        <v>0</v>
      </c>
      <c r="E2" s="154">
        <v>195</v>
      </c>
      <c r="F2" s="154">
        <v>3</v>
      </c>
      <c r="G2" s="156">
        <v>0</v>
      </c>
      <c r="H2" s="156">
        <v>146</v>
      </c>
      <c r="I2" s="156">
        <v>3</v>
      </c>
      <c r="J2" s="154">
        <v>0</v>
      </c>
      <c r="K2" s="154">
        <v>133</v>
      </c>
      <c r="L2" s="154">
        <v>3</v>
      </c>
      <c r="M2" s="158">
        <v>0</v>
      </c>
      <c r="N2" s="156">
        <v>116</v>
      </c>
      <c r="O2" s="156">
        <v>3</v>
      </c>
      <c r="P2" s="154"/>
      <c r="Q2" s="154">
        <v>89</v>
      </c>
      <c r="R2" s="154">
        <v>3</v>
      </c>
      <c r="S2" s="156">
        <v>0</v>
      </c>
      <c r="T2" s="156">
        <v>87</v>
      </c>
      <c r="U2" s="156">
        <v>3</v>
      </c>
      <c r="V2" s="159">
        <f t="shared" ref="V2:V22" si="0">D2+G2+J2+M2+P2+S2</f>
        <v>0</v>
      </c>
      <c r="W2" s="159">
        <f t="shared" ref="W2:W22" si="1">E2+H2+K2+N2+Q2+T2</f>
        <v>766</v>
      </c>
      <c r="X2" s="159">
        <f t="shared" ref="X2:X22" si="2">+F2+I2+L2+O2+R2+U2</f>
        <v>18</v>
      </c>
      <c r="Y2" s="160">
        <v>3</v>
      </c>
      <c r="Z2" s="160">
        <v>38</v>
      </c>
    </row>
    <row r="3" spans="1:26" ht="21" x14ac:dyDescent="0.35">
      <c r="A3" s="7">
        <v>2</v>
      </c>
      <c r="B3" s="313" t="s">
        <v>689</v>
      </c>
      <c r="C3" s="152" t="s">
        <v>341</v>
      </c>
      <c r="D3" s="153"/>
      <c r="E3" s="154">
        <v>106</v>
      </c>
      <c r="F3" s="154">
        <v>3</v>
      </c>
      <c r="G3" s="156"/>
      <c r="H3" s="161">
        <v>99</v>
      </c>
      <c r="I3" s="156">
        <v>3</v>
      </c>
      <c r="J3" s="154"/>
      <c r="K3" s="162">
        <v>130</v>
      </c>
      <c r="L3" s="154">
        <v>4</v>
      </c>
      <c r="M3" s="158"/>
      <c r="N3" s="161">
        <v>134</v>
      </c>
      <c r="O3" s="156">
        <v>3</v>
      </c>
      <c r="P3" s="154"/>
      <c r="Q3" s="162">
        <v>133</v>
      </c>
      <c r="R3" s="154">
        <v>3</v>
      </c>
      <c r="S3" s="163"/>
      <c r="T3" s="164">
        <v>122</v>
      </c>
      <c r="U3" s="163">
        <v>3</v>
      </c>
      <c r="V3" s="159">
        <f t="shared" si="0"/>
        <v>0</v>
      </c>
      <c r="W3" s="159">
        <f t="shared" si="1"/>
        <v>724</v>
      </c>
      <c r="X3" s="159">
        <f t="shared" si="2"/>
        <v>19</v>
      </c>
      <c r="Y3" s="165">
        <v>8</v>
      </c>
      <c r="Z3" s="165">
        <v>26</v>
      </c>
    </row>
    <row r="4" spans="1:26" ht="21" x14ac:dyDescent="0.35">
      <c r="A4" s="7">
        <v>3</v>
      </c>
      <c r="B4" s="313" t="s">
        <v>689</v>
      </c>
      <c r="C4" s="152" t="s">
        <v>342</v>
      </c>
      <c r="D4" s="166">
        <v>182</v>
      </c>
      <c r="E4" s="166">
        <v>135</v>
      </c>
      <c r="F4" s="154">
        <v>6</v>
      </c>
      <c r="G4" s="167">
        <v>146</v>
      </c>
      <c r="H4" s="167">
        <v>123</v>
      </c>
      <c r="I4" s="156">
        <v>5</v>
      </c>
      <c r="J4" s="166">
        <v>140</v>
      </c>
      <c r="K4" s="166">
        <v>96</v>
      </c>
      <c r="L4" s="154">
        <v>5</v>
      </c>
      <c r="M4" s="167">
        <v>114</v>
      </c>
      <c r="N4" s="167">
        <v>114</v>
      </c>
      <c r="O4" s="156">
        <v>5</v>
      </c>
      <c r="P4" s="166">
        <v>125</v>
      </c>
      <c r="Q4" s="166">
        <v>113</v>
      </c>
      <c r="R4" s="154">
        <v>4</v>
      </c>
      <c r="S4" s="168">
        <v>100</v>
      </c>
      <c r="T4" s="168">
        <v>84</v>
      </c>
      <c r="U4" s="163">
        <v>4</v>
      </c>
      <c r="V4" s="159">
        <f t="shared" si="0"/>
        <v>807</v>
      </c>
      <c r="W4" s="159">
        <f t="shared" si="1"/>
        <v>665</v>
      </c>
      <c r="X4" s="159">
        <f t="shared" si="2"/>
        <v>29</v>
      </c>
      <c r="Y4" s="165">
        <v>5</v>
      </c>
      <c r="Z4" s="165">
        <v>20</v>
      </c>
    </row>
    <row r="5" spans="1:26" ht="21" x14ac:dyDescent="0.35">
      <c r="A5" s="7">
        <v>4</v>
      </c>
      <c r="B5" s="313" t="s">
        <v>689</v>
      </c>
      <c r="C5" s="152" t="s">
        <v>343</v>
      </c>
      <c r="D5" s="169">
        <v>37</v>
      </c>
      <c r="E5" s="154">
        <v>0</v>
      </c>
      <c r="F5" s="154">
        <v>1</v>
      </c>
      <c r="G5" s="156">
        <v>30</v>
      </c>
      <c r="H5" s="156">
        <v>0</v>
      </c>
      <c r="I5" s="156">
        <v>1</v>
      </c>
      <c r="J5" s="154">
        <v>41</v>
      </c>
      <c r="K5" s="154">
        <v>0</v>
      </c>
      <c r="L5" s="154">
        <v>1</v>
      </c>
      <c r="M5" s="156">
        <v>32</v>
      </c>
      <c r="N5" s="156">
        <v>0</v>
      </c>
      <c r="O5" s="156">
        <v>1</v>
      </c>
      <c r="P5" s="154">
        <v>22</v>
      </c>
      <c r="Q5" s="154">
        <v>0</v>
      </c>
      <c r="R5" s="154">
        <v>1</v>
      </c>
      <c r="S5" s="163">
        <v>42</v>
      </c>
      <c r="T5" s="163">
        <v>0</v>
      </c>
      <c r="U5" s="163">
        <v>1</v>
      </c>
      <c r="V5" s="159">
        <f t="shared" si="0"/>
        <v>204</v>
      </c>
      <c r="W5" s="159">
        <f t="shared" si="1"/>
        <v>0</v>
      </c>
      <c r="X5" s="159">
        <f t="shared" si="2"/>
        <v>6</v>
      </c>
      <c r="Y5" s="170">
        <v>4</v>
      </c>
      <c r="Z5" s="170">
        <v>20</v>
      </c>
    </row>
    <row r="6" spans="1:26" ht="21" x14ac:dyDescent="0.35">
      <c r="A6" s="7">
        <v>5</v>
      </c>
      <c r="B6" s="313" t="s">
        <v>689</v>
      </c>
      <c r="C6" s="152" t="s">
        <v>344</v>
      </c>
      <c r="D6" s="153">
        <v>0</v>
      </c>
      <c r="E6" s="154">
        <v>77</v>
      </c>
      <c r="F6" s="154">
        <v>2</v>
      </c>
      <c r="G6" s="156">
        <v>0</v>
      </c>
      <c r="H6" s="156">
        <v>58</v>
      </c>
      <c r="I6" s="156"/>
      <c r="J6" s="154">
        <v>0</v>
      </c>
      <c r="K6" s="154">
        <v>78</v>
      </c>
      <c r="L6" s="154">
        <v>2</v>
      </c>
      <c r="M6" s="158">
        <v>0</v>
      </c>
      <c r="N6" s="156">
        <v>41</v>
      </c>
      <c r="O6" s="156">
        <v>2</v>
      </c>
      <c r="P6" s="154">
        <v>0</v>
      </c>
      <c r="Q6" s="154">
        <v>63</v>
      </c>
      <c r="R6" s="154"/>
      <c r="S6" s="163">
        <v>0</v>
      </c>
      <c r="T6" s="171">
        <v>45</v>
      </c>
      <c r="U6" s="163">
        <v>2</v>
      </c>
      <c r="V6" s="159">
        <f t="shared" si="0"/>
        <v>0</v>
      </c>
      <c r="W6" s="159">
        <f t="shared" si="1"/>
        <v>362</v>
      </c>
      <c r="X6" s="159">
        <f t="shared" si="2"/>
        <v>8</v>
      </c>
      <c r="Y6" s="160">
        <v>4</v>
      </c>
      <c r="Z6" s="160">
        <v>14</v>
      </c>
    </row>
    <row r="7" spans="1:26" ht="21" x14ac:dyDescent="0.35">
      <c r="A7" s="7">
        <v>6</v>
      </c>
      <c r="B7" s="313" t="s">
        <v>689</v>
      </c>
      <c r="C7" s="152" t="s">
        <v>345</v>
      </c>
      <c r="D7" s="169">
        <v>80</v>
      </c>
      <c r="E7" s="154">
        <v>0</v>
      </c>
      <c r="F7" s="154">
        <v>1</v>
      </c>
      <c r="G7" s="156">
        <v>47</v>
      </c>
      <c r="H7" s="156">
        <v>0</v>
      </c>
      <c r="I7" s="156">
        <v>1</v>
      </c>
      <c r="J7" s="154">
        <v>49</v>
      </c>
      <c r="K7" s="154">
        <v>0</v>
      </c>
      <c r="L7" s="154">
        <v>1</v>
      </c>
      <c r="M7" s="156">
        <v>32</v>
      </c>
      <c r="N7" s="156">
        <v>0</v>
      </c>
      <c r="O7" s="156">
        <v>1</v>
      </c>
      <c r="P7" s="154">
        <v>31</v>
      </c>
      <c r="Q7" s="154">
        <v>0</v>
      </c>
      <c r="R7" s="154">
        <v>1</v>
      </c>
      <c r="S7" s="163">
        <v>34</v>
      </c>
      <c r="T7" s="163">
        <v>0</v>
      </c>
      <c r="U7" s="163">
        <v>1</v>
      </c>
      <c r="V7" s="159">
        <f t="shared" si="0"/>
        <v>273</v>
      </c>
      <c r="W7" s="159">
        <f t="shared" si="1"/>
        <v>0</v>
      </c>
      <c r="X7" s="159">
        <f t="shared" si="2"/>
        <v>6</v>
      </c>
      <c r="Y7" s="170">
        <v>4</v>
      </c>
      <c r="Z7" s="170">
        <v>17</v>
      </c>
    </row>
    <row r="8" spans="1:26" ht="21" x14ac:dyDescent="0.35">
      <c r="A8" s="7">
        <v>7</v>
      </c>
      <c r="B8" s="313" t="s">
        <v>689</v>
      </c>
      <c r="C8" s="152" t="s">
        <v>346</v>
      </c>
      <c r="D8" s="166">
        <v>42</v>
      </c>
      <c r="E8" s="166">
        <v>17</v>
      </c>
      <c r="F8" s="172">
        <v>2</v>
      </c>
      <c r="G8" s="167">
        <v>26</v>
      </c>
      <c r="H8" s="167">
        <v>8</v>
      </c>
      <c r="I8" s="173">
        <v>1</v>
      </c>
      <c r="J8" s="166">
        <v>25</v>
      </c>
      <c r="K8" s="166">
        <v>16</v>
      </c>
      <c r="L8" s="172">
        <v>1</v>
      </c>
      <c r="M8" s="167">
        <v>24</v>
      </c>
      <c r="N8" s="167">
        <v>8</v>
      </c>
      <c r="O8" s="173">
        <v>1</v>
      </c>
      <c r="P8" s="166">
        <v>13</v>
      </c>
      <c r="Q8" s="166">
        <v>14</v>
      </c>
      <c r="R8" s="172">
        <v>1</v>
      </c>
      <c r="S8" s="174">
        <v>16</v>
      </c>
      <c r="T8" s="174">
        <v>9</v>
      </c>
      <c r="U8" s="175">
        <v>1</v>
      </c>
      <c r="V8" s="159">
        <f t="shared" si="0"/>
        <v>146</v>
      </c>
      <c r="W8" s="159">
        <f t="shared" si="1"/>
        <v>72</v>
      </c>
      <c r="X8" s="159">
        <f t="shared" si="2"/>
        <v>7</v>
      </c>
      <c r="Y8" s="170">
        <v>3</v>
      </c>
      <c r="Z8" s="170">
        <v>14</v>
      </c>
    </row>
    <row r="9" spans="1:26" ht="21" x14ac:dyDescent="0.35">
      <c r="A9" s="7">
        <v>8</v>
      </c>
      <c r="B9" s="313" t="s">
        <v>689</v>
      </c>
      <c r="C9" s="152" t="s">
        <v>347</v>
      </c>
      <c r="D9" s="166">
        <v>20</v>
      </c>
      <c r="E9" s="166">
        <v>20</v>
      </c>
      <c r="F9" s="154">
        <v>1</v>
      </c>
      <c r="G9" s="167">
        <v>21</v>
      </c>
      <c r="H9" s="167">
        <v>18</v>
      </c>
      <c r="I9" s="156">
        <v>1</v>
      </c>
      <c r="J9" s="166">
        <v>14</v>
      </c>
      <c r="K9" s="166">
        <v>28</v>
      </c>
      <c r="L9" s="154">
        <v>1</v>
      </c>
      <c r="M9" s="167">
        <v>11</v>
      </c>
      <c r="N9" s="167">
        <v>13</v>
      </c>
      <c r="O9" s="156">
        <v>1</v>
      </c>
      <c r="P9" s="166">
        <v>11</v>
      </c>
      <c r="Q9" s="166">
        <v>16</v>
      </c>
      <c r="R9" s="154">
        <v>1</v>
      </c>
      <c r="S9" s="168">
        <v>13</v>
      </c>
      <c r="T9" s="168">
        <v>15</v>
      </c>
      <c r="U9" s="163">
        <v>1</v>
      </c>
      <c r="V9" s="159">
        <f t="shared" si="0"/>
        <v>90</v>
      </c>
      <c r="W9" s="159">
        <f t="shared" si="1"/>
        <v>110</v>
      </c>
      <c r="X9" s="159">
        <f t="shared" si="2"/>
        <v>6</v>
      </c>
      <c r="Y9" s="160">
        <v>1</v>
      </c>
      <c r="Z9" s="160">
        <v>13</v>
      </c>
    </row>
    <row r="10" spans="1:26" ht="21" x14ac:dyDescent="0.35">
      <c r="A10" s="7">
        <v>9</v>
      </c>
      <c r="B10" s="313" t="s">
        <v>689</v>
      </c>
      <c r="C10" s="152" t="s">
        <v>348</v>
      </c>
      <c r="D10" s="166">
        <v>30</v>
      </c>
      <c r="E10" s="166">
        <v>40</v>
      </c>
      <c r="F10" s="154">
        <v>1</v>
      </c>
      <c r="G10" s="167">
        <v>17</v>
      </c>
      <c r="H10" s="167">
        <v>27</v>
      </c>
      <c r="I10" s="156">
        <v>1</v>
      </c>
      <c r="J10" s="166">
        <v>23</v>
      </c>
      <c r="K10" s="166">
        <v>33</v>
      </c>
      <c r="L10" s="154">
        <v>1</v>
      </c>
      <c r="M10" s="167">
        <v>20</v>
      </c>
      <c r="N10" s="167">
        <v>20</v>
      </c>
      <c r="O10" s="156">
        <v>1</v>
      </c>
      <c r="P10" s="176">
        <v>9</v>
      </c>
      <c r="Q10" s="176">
        <v>11</v>
      </c>
      <c r="R10" s="154">
        <v>1</v>
      </c>
      <c r="S10" s="177">
        <v>12</v>
      </c>
      <c r="T10" s="177">
        <v>18</v>
      </c>
      <c r="U10" s="163">
        <v>1</v>
      </c>
      <c r="V10" s="159">
        <f t="shared" si="0"/>
        <v>111</v>
      </c>
      <c r="W10" s="159">
        <f t="shared" si="1"/>
        <v>149</v>
      </c>
      <c r="X10" s="159">
        <f t="shared" si="2"/>
        <v>6</v>
      </c>
      <c r="Y10" s="170">
        <v>2</v>
      </c>
      <c r="Z10" s="170">
        <v>18</v>
      </c>
    </row>
    <row r="11" spans="1:26" ht="21" x14ac:dyDescent="0.35">
      <c r="A11" s="7">
        <v>10</v>
      </c>
      <c r="B11" s="313" t="s">
        <v>689</v>
      </c>
      <c r="C11" s="152" t="s">
        <v>349</v>
      </c>
      <c r="D11" s="153">
        <v>8</v>
      </c>
      <c r="E11" s="154">
        <v>12</v>
      </c>
      <c r="F11" s="154">
        <v>1</v>
      </c>
      <c r="G11" s="156">
        <v>12</v>
      </c>
      <c r="H11" s="156">
        <v>11</v>
      </c>
      <c r="I11" s="156">
        <v>1</v>
      </c>
      <c r="J11" s="154">
        <v>11</v>
      </c>
      <c r="K11" s="154">
        <v>5</v>
      </c>
      <c r="L11" s="154">
        <v>1</v>
      </c>
      <c r="M11" s="158">
        <v>11</v>
      </c>
      <c r="N11" s="156">
        <v>8</v>
      </c>
      <c r="O11" s="156">
        <v>1</v>
      </c>
      <c r="P11" s="154">
        <v>5</v>
      </c>
      <c r="Q11" s="154">
        <v>5</v>
      </c>
      <c r="R11" s="154">
        <v>1</v>
      </c>
      <c r="S11" s="156">
        <v>9</v>
      </c>
      <c r="T11" s="156">
        <v>3</v>
      </c>
      <c r="U11" s="156">
        <v>1</v>
      </c>
      <c r="V11" s="159">
        <f t="shared" si="0"/>
        <v>56</v>
      </c>
      <c r="W11" s="159">
        <f t="shared" si="1"/>
        <v>44</v>
      </c>
      <c r="X11" s="159">
        <f t="shared" si="2"/>
        <v>6</v>
      </c>
      <c r="Y11" s="160">
        <v>4</v>
      </c>
      <c r="Z11" s="160">
        <v>9</v>
      </c>
    </row>
    <row r="12" spans="1:26" ht="21" x14ac:dyDescent="0.35">
      <c r="A12" s="7">
        <v>11</v>
      </c>
      <c r="B12" s="313" t="s">
        <v>689</v>
      </c>
      <c r="C12" s="152" t="s">
        <v>350</v>
      </c>
      <c r="D12" s="153">
        <v>170</v>
      </c>
      <c r="E12" s="154">
        <v>64</v>
      </c>
      <c r="F12" s="154">
        <v>5</v>
      </c>
      <c r="G12" s="156">
        <v>142</v>
      </c>
      <c r="H12" s="156">
        <v>55</v>
      </c>
      <c r="I12" s="156">
        <v>4</v>
      </c>
      <c r="J12" s="154">
        <v>122</v>
      </c>
      <c r="K12" s="154">
        <v>44</v>
      </c>
      <c r="L12" s="154">
        <v>4</v>
      </c>
      <c r="M12" s="158">
        <v>78</v>
      </c>
      <c r="N12" s="156">
        <v>33</v>
      </c>
      <c r="O12" s="156">
        <v>5</v>
      </c>
      <c r="P12" s="154">
        <v>106</v>
      </c>
      <c r="Q12" s="154">
        <v>5</v>
      </c>
      <c r="R12" s="154">
        <v>5</v>
      </c>
      <c r="S12" s="156">
        <v>49</v>
      </c>
      <c r="T12" s="156">
        <v>22</v>
      </c>
      <c r="U12" s="156">
        <v>5</v>
      </c>
      <c r="V12" s="159">
        <f t="shared" si="0"/>
        <v>667</v>
      </c>
      <c r="W12" s="159">
        <f t="shared" si="1"/>
        <v>223</v>
      </c>
      <c r="X12" s="159">
        <f t="shared" si="2"/>
        <v>28</v>
      </c>
      <c r="Y12" s="160">
        <v>19</v>
      </c>
      <c r="Z12" s="160">
        <v>18</v>
      </c>
    </row>
    <row r="13" spans="1:26" ht="21" x14ac:dyDescent="0.35">
      <c r="A13" s="7">
        <v>12</v>
      </c>
      <c r="B13" s="313" t="s">
        <v>689</v>
      </c>
      <c r="C13" s="152" t="s">
        <v>351</v>
      </c>
      <c r="D13" s="153">
        <v>82</v>
      </c>
      <c r="E13" s="154">
        <v>54</v>
      </c>
      <c r="F13" s="154">
        <v>4</v>
      </c>
      <c r="G13" s="156">
        <v>60</v>
      </c>
      <c r="H13" s="156">
        <v>44</v>
      </c>
      <c r="I13" s="156">
        <v>3</v>
      </c>
      <c r="J13" s="154">
        <v>62</v>
      </c>
      <c r="K13" s="154">
        <v>58</v>
      </c>
      <c r="L13" s="154">
        <v>3</v>
      </c>
      <c r="M13" s="158">
        <v>69</v>
      </c>
      <c r="N13" s="156">
        <v>47</v>
      </c>
      <c r="O13" s="156">
        <v>3</v>
      </c>
      <c r="P13" s="154">
        <v>73</v>
      </c>
      <c r="Q13" s="154">
        <v>46</v>
      </c>
      <c r="R13" s="154">
        <v>3</v>
      </c>
      <c r="S13" s="156">
        <v>48</v>
      </c>
      <c r="T13" s="156">
        <v>49</v>
      </c>
      <c r="U13" s="156">
        <v>3</v>
      </c>
      <c r="V13" s="159">
        <f t="shared" si="0"/>
        <v>394</v>
      </c>
      <c r="W13" s="159">
        <f t="shared" si="1"/>
        <v>298</v>
      </c>
      <c r="X13" s="159">
        <f t="shared" si="2"/>
        <v>19</v>
      </c>
      <c r="Y13" s="160">
        <v>3</v>
      </c>
      <c r="Z13" s="160">
        <v>18</v>
      </c>
    </row>
    <row r="14" spans="1:26" ht="21" x14ac:dyDescent="0.35">
      <c r="A14" s="7">
        <v>13</v>
      </c>
      <c r="B14" s="313" t="s">
        <v>689</v>
      </c>
      <c r="C14" s="152" t="s">
        <v>352</v>
      </c>
      <c r="D14" s="166">
        <v>12</v>
      </c>
      <c r="E14" s="166">
        <v>32</v>
      </c>
      <c r="F14" s="154">
        <v>1</v>
      </c>
      <c r="G14" s="167">
        <v>25</v>
      </c>
      <c r="H14" s="167">
        <v>29</v>
      </c>
      <c r="I14" s="156">
        <v>1</v>
      </c>
      <c r="J14" s="166">
        <v>17</v>
      </c>
      <c r="K14" s="166">
        <v>18</v>
      </c>
      <c r="L14" s="154">
        <v>1</v>
      </c>
      <c r="M14" s="167">
        <v>17</v>
      </c>
      <c r="N14" s="167">
        <v>17</v>
      </c>
      <c r="O14" s="156">
        <v>1</v>
      </c>
      <c r="P14" s="176">
        <v>12</v>
      </c>
      <c r="Q14" s="176">
        <v>18</v>
      </c>
      <c r="R14" s="154">
        <v>1</v>
      </c>
      <c r="S14" s="178">
        <v>14</v>
      </c>
      <c r="T14" s="178">
        <v>14</v>
      </c>
      <c r="U14" s="156">
        <v>1</v>
      </c>
      <c r="V14" s="159">
        <f t="shared" si="0"/>
        <v>97</v>
      </c>
      <c r="W14" s="159">
        <f t="shared" si="1"/>
        <v>128</v>
      </c>
      <c r="X14" s="159">
        <f t="shared" si="2"/>
        <v>6</v>
      </c>
      <c r="Y14" s="170">
        <v>2</v>
      </c>
      <c r="Z14" s="170">
        <v>20</v>
      </c>
    </row>
    <row r="15" spans="1:26" ht="21" x14ac:dyDescent="0.35">
      <c r="A15" s="7">
        <v>14</v>
      </c>
      <c r="B15" s="313" t="s">
        <v>689</v>
      </c>
      <c r="C15" s="152" t="s">
        <v>353</v>
      </c>
      <c r="D15" s="166">
        <v>26</v>
      </c>
      <c r="E15" s="166">
        <v>20</v>
      </c>
      <c r="F15" s="154">
        <v>1</v>
      </c>
      <c r="G15" s="167">
        <v>11</v>
      </c>
      <c r="H15" s="167">
        <v>12</v>
      </c>
      <c r="I15" s="156">
        <v>1</v>
      </c>
      <c r="J15" s="166">
        <v>16</v>
      </c>
      <c r="K15" s="166">
        <v>14</v>
      </c>
      <c r="L15" s="154">
        <v>1</v>
      </c>
      <c r="M15" s="167">
        <v>7</v>
      </c>
      <c r="N15" s="167">
        <v>18</v>
      </c>
      <c r="O15" s="156">
        <v>1</v>
      </c>
      <c r="P15" s="166">
        <v>7</v>
      </c>
      <c r="Q15" s="166">
        <v>12</v>
      </c>
      <c r="R15" s="154">
        <v>1</v>
      </c>
      <c r="S15" s="167">
        <v>10</v>
      </c>
      <c r="T15" s="167">
        <v>12</v>
      </c>
      <c r="U15" s="156">
        <v>1</v>
      </c>
      <c r="V15" s="159">
        <f t="shared" si="0"/>
        <v>77</v>
      </c>
      <c r="W15" s="159">
        <f t="shared" si="1"/>
        <v>88</v>
      </c>
      <c r="X15" s="159">
        <f t="shared" si="2"/>
        <v>6</v>
      </c>
      <c r="Y15" s="170">
        <v>8</v>
      </c>
      <c r="Z15" s="170">
        <v>9</v>
      </c>
    </row>
    <row r="16" spans="1:26" ht="21" x14ac:dyDescent="0.35">
      <c r="A16" s="7">
        <v>15</v>
      </c>
      <c r="B16" s="313" t="s">
        <v>689</v>
      </c>
      <c r="C16" s="152" t="s">
        <v>354</v>
      </c>
      <c r="D16" s="153">
        <v>23</v>
      </c>
      <c r="E16" s="154">
        <v>9</v>
      </c>
      <c r="F16" s="154">
        <v>1</v>
      </c>
      <c r="G16" s="156">
        <v>21</v>
      </c>
      <c r="H16" s="156">
        <v>12</v>
      </c>
      <c r="I16" s="156">
        <v>1</v>
      </c>
      <c r="J16" s="154">
        <v>20</v>
      </c>
      <c r="K16" s="154">
        <v>8</v>
      </c>
      <c r="L16" s="154">
        <v>1</v>
      </c>
      <c r="M16" s="158">
        <v>15</v>
      </c>
      <c r="N16" s="156">
        <v>8</v>
      </c>
      <c r="O16" s="156">
        <v>1</v>
      </c>
      <c r="P16" s="154">
        <v>15</v>
      </c>
      <c r="Q16" s="154">
        <v>8</v>
      </c>
      <c r="R16" s="154">
        <v>1</v>
      </c>
      <c r="S16" s="156">
        <v>18</v>
      </c>
      <c r="T16" s="156">
        <v>12</v>
      </c>
      <c r="U16" s="156">
        <v>1</v>
      </c>
      <c r="V16" s="159">
        <f t="shared" si="0"/>
        <v>112</v>
      </c>
      <c r="W16" s="159">
        <f t="shared" si="1"/>
        <v>57</v>
      </c>
      <c r="X16" s="159">
        <f t="shared" si="2"/>
        <v>6</v>
      </c>
      <c r="Y16" s="160">
        <v>3</v>
      </c>
      <c r="Z16" s="160">
        <v>22</v>
      </c>
    </row>
    <row r="17" spans="1:26" ht="21" x14ac:dyDescent="0.35">
      <c r="A17" s="7">
        <v>16</v>
      </c>
      <c r="B17" s="313" t="s">
        <v>689</v>
      </c>
      <c r="C17" s="152" t="s">
        <v>355</v>
      </c>
      <c r="D17" s="166">
        <v>48</v>
      </c>
      <c r="E17" s="166">
        <v>22</v>
      </c>
      <c r="F17" s="154">
        <v>2</v>
      </c>
      <c r="G17" s="167">
        <v>24</v>
      </c>
      <c r="H17" s="167">
        <v>9</v>
      </c>
      <c r="I17" s="156">
        <v>1</v>
      </c>
      <c r="J17" s="166">
        <v>17</v>
      </c>
      <c r="K17" s="166">
        <v>22</v>
      </c>
      <c r="L17" s="154">
        <v>1</v>
      </c>
      <c r="M17" s="167">
        <v>21</v>
      </c>
      <c r="N17" s="167">
        <v>12</v>
      </c>
      <c r="O17" s="156">
        <v>1</v>
      </c>
      <c r="P17" s="166">
        <v>11</v>
      </c>
      <c r="Q17" s="166">
        <v>11</v>
      </c>
      <c r="R17" s="154">
        <v>1</v>
      </c>
      <c r="S17" s="167">
        <v>17</v>
      </c>
      <c r="T17" s="167">
        <v>6</v>
      </c>
      <c r="U17" s="156">
        <v>1</v>
      </c>
      <c r="V17" s="159">
        <f t="shared" si="0"/>
        <v>138</v>
      </c>
      <c r="W17" s="159">
        <f t="shared" si="1"/>
        <v>82</v>
      </c>
      <c r="X17" s="159">
        <f t="shared" si="2"/>
        <v>7</v>
      </c>
      <c r="Y17" s="170">
        <v>3</v>
      </c>
      <c r="Z17" s="170">
        <v>15</v>
      </c>
    </row>
    <row r="18" spans="1:26" ht="21" x14ac:dyDescent="0.35">
      <c r="A18" s="7">
        <v>17</v>
      </c>
      <c r="B18" s="313" t="s">
        <v>689</v>
      </c>
      <c r="C18" s="152" t="s">
        <v>356</v>
      </c>
      <c r="D18" s="166">
        <v>36</v>
      </c>
      <c r="E18" s="166">
        <v>21</v>
      </c>
      <c r="F18" s="154">
        <v>1</v>
      </c>
      <c r="G18" s="167">
        <v>34</v>
      </c>
      <c r="H18" s="167">
        <v>18</v>
      </c>
      <c r="I18" s="156">
        <v>1</v>
      </c>
      <c r="J18" s="166">
        <v>21</v>
      </c>
      <c r="K18" s="166">
        <v>29</v>
      </c>
      <c r="L18" s="154">
        <v>1</v>
      </c>
      <c r="M18" s="167">
        <v>10</v>
      </c>
      <c r="N18" s="167">
        <v>11</v>
      </c>
      <c r="O18" s="156">
        <v>1</v>
      </c>
      <c r="P18" s="166">
        <v>12</v>
      </c>
      <c r="Q18" s="166">
        <v>10</v>
      </c>
      <c r="R18" s="154">
        <v>1</v>
      </c>
      <c r="S18" s="167">
        <v>17</v>
      </c>
      <c r="T18" s="167">
        <v>13</v>
      </c>
      <c r="U18" s="156">
        <v>1</v>
      </c>
      <c r="V18" s="159">
        <f t="shared" si="0"/>
        <v>130</v>
      </c>
      <c r="W18" s="159">
        <f t="shared" si="1"/>
        <v>102</v>
      </c>
      <c r="X18" s="159">
        <f t="shared" si="2"/>
        <v>6</v>
      </c>
      <c r="Y18" s="170">
        <v>1</v>
      </c>
      <c r="Z18" s="170">
        <v>18</v>
      </c>
    </row>
    <row r="19" spans="1:26" ht="21" x14ac:dyDescent="0.35">
      <c r="A19" s="7">
        <v>18</v>
      </c>
      <c r="B19" s="313" t="s">
        <v>689</v>
      </c>
      <c r="C19" s="152" t="s">
        <v>357</v>
      </c>
      <c r="D19" s="153">
        <v>42</v>
      </c>
      <c r="E19" s="154">
        <v>48</v>
      </c>
      <c r="F19" s="154">
        <v>2</v>
      </c>
      <c r="G19" s="167">
        <v>55</v>
      </c>
      <c r="H19" s="167">
        <v>76</v>
      </c>
      <c r="I19" s="173">
        <v>3</v>
      </c>
      <c r="J19" s="166">
        <v>39</v>
      </c>
      <c r="K19" s="154">
        <v>87</v>
      </c>
      <c r="L19" s="166">
        <v>3</v>
      </c>
      <c r="M19" s="167">
        <v>26</v>
      </c>
      <c r="N19" s="167">
        <v>62</v>
      </c>
      <c r="O19" s="167">
        <v>3</v>
      </c>
      <c r="P19" s="154">
        <v>36</v>
      </c>
      <c r="Q19" s="154">
        <v>60</v>
      </c>
      <c r="R19" s="154">
        <v>3</v>
      </c>
      <c r="S19" s="156">
        <v>32</v>
      </c>
      <c r="T19" s="156">
        <v>64</v>
      </c>
      <c r="U19" s="156">
        <v>2</v>
      </c>
      <c r="V19" s="159">
        <f t="shared" si="0"/>
        <v>230</v>
      </c>
      <c r="W19" s="159">
        <f t="shared" si="1"/>
        <v>397</v>
      </c>
      <c r="X19" s="159">
        <f t="shared" si="2"/>
        <v>16</v>
      </c>
      <c r="Y19" s="160">
        <v>2</v>
      </c>
      <c r="Z19" s="160">
        <v>17</v>
      </c>
    </row>
    <row r="20" spans="1:26" ht="21" x14ac:dyDescent="0.35">
      <c r="A20" s="7">
        <v>19</v>
      </c>
      <c r="B20" s="313" t="s">
        <v>689</v>
      </c>
      <c r="C20" s="152" t="s">
        <v>358</v>
      </c>
      <c r="D20" s="179">
        <v>61</v>
      </c>
      <c r="E20" s="179">
        <v>32</v>
      </c>
      <c r="F20" s="180">
        <v>2</v>
      </c>
      <c r="G20" s="181">
        <v>65</v>
      </c>
      <c r="H20" s="181">
        <v>23</v>
      </c>
      <c r="I20" s="182">
        <v>2</v>
      </c>
      <c r="J20" s="179">
        <v>52</v>
      </c>
      <c r="K20" s="179">
        <v>19</v>
      </c>
      <c r="L20" s="180">
        <v>2</v>
      </c>
      <c r="M20" s="181">
        <v>45</v>
      </c>
      <c r="N20" s="181">
        <v>18</v>
      </c>
      <c r="O20" s="182">
        <v>2</v>
      </c>
      <c r="P20" s="179">
        <v>10</v>
      </c>
      <c r="Q20" s="179">
        <v>42</v>
      </c>
      <c r="R20" s="180">
        <v>1</v>
      </c>
      <c r="S20" s="181">
        <v>27</v>
      </c>
      <c r="T20" s="181">
        <v>7</v>
      </c>
      <c r="U20" s="182">
        <v>1</v>
      </c>
      <c r="V20" s="159">
        <f t="shared" si="0"/>
        <v>260</v>
      </c>
      <c r="W20" s="159">
        <f t="shared" si="1"/>
        <v>141</v>
      </c>
      <c r="X20" s="159">
        <f t="shared" si="2"/>
        <v>10</v>
      </c>
      <c r="Y20" s="170">
        <v>8</v>
      </c>
      <c r="Z20" s="170">
        <v>27</v>
      </c>
    </row>
    <row r="21" spans="1:26" ht="21" x14ac:dyDescent="0.35">
      <c r="A21" s="7">
        <v>20</v>
      </c>
      <c r="B21" s="313" t="s">
        <v>689</v>
      </c>
      <c r="C21" s="152" t="s">
        <v>359</v>
      </c>
      <c r="D21" s="166">
        <v>9</v>
      </c>
      <c r="E21" s="166">
        <v>7</v>
      </c>
      <c r="F21" s="155">
        <v>1</v>
      </c>
      <c r="G21" s="167">
        <v>7</v>
      </c>
      <c r="H21" s="167">
        <v>2</v>
      </c>
      <c r="I21" s="156">
        <v>1</v>
      </c>
      <c r="J21" s="166">
        <v>0</v>
      </c>
      <c r="K21" s="166">
        <v>0</v>
      </c>
      <c r="L21" s="166">
        <v>0</v>
      </c>
      <c r="M21" s="167">
        <v>4</v>
      </c>
      <c r="N21" s="167">
        <v>1</v>
      </c>
      <c r="O21" s="156">
        <v>1</v>
      </c>
      <c r="P21" s="166">
        <v>5</v>
      </c>
      <c r="Q21" s="166">
        <v>9</v>
      </c>
      <c r="R21" s="154">
        <v>1</v>
      </c>
      <c r="S21" s="167">
        <v>7</v>
      </c>
      <c r="T21" s="167">
        <v>14</v>
      </c>
      <c r="U21" s="156">
        <v>1</v>
      </c>
      <c r="V21" s="159">
        <f t="shared" si="0"/>
        <v>32</v>
      </c>
      <c r="W21" s="159">
        <f t="shared" si="1"/>
        <v>33</v>
      </c>
      <c r="X21" s="159">
        <f t="shared" si="2"/>
        <v>5</v>
      </c>
      <c r="Y21" s="170">
        <v>2</v>
      </c>
      <c r="Z21" s="170">
        <v>12</v>
      </c>
    </row>
    <row r="22" spans="1:26" ht="21" x14ac:dyDescent="0.35">
      <c r="A22" s="7">
        <v>21</v>
      </c>
      <c r="B22" s="313" t="s">
        <v>689</v>
      </c>
      <c r="C22" s="152" t="s">
        <v>360</v>
      </c>
      <c r="D22" s="166">
        <v>20</v>
      </c>
      <c r="E22" s="166">
        <v>14</v>
      </c>
      <c r="F22" s="166">
        <v>1</v>
      </c>
      <c r="G22" s="167">
        <v>11</v>
      </c>
      <c r="H22" s="167">
        <v>23</v>
      </c>
      <c r="I22" s="167">
        <v>1</v>
      </c>
      <c r="J22" s="166">
        <v>15</v>
      </c>
      <c r="K22" s="166">
        <v>14</v>
      </c>
      <c r="L22" s="166">
        <v>1</v>
      </c>
      <c r="M22" s="167">
        <v>11</v>
      </c>
      <c r="N22" s="167">
        <v>16</v>
      </c>
      <c r="O22" s="167">
        <v>1</v>
      </c>
      <c r="P22" s="166">
        <v>15</v>
      </c>
      <c r="Q22" s="166">
        <v>11</v>
      </c>
      <c r="R22" s="166">
        <v>1</v>
      </c>
      <c r="S22" s="168">
        <v>8</v>
      </c>
      <c r="T22" s="168">
        <v>24</v>
      </c>
      <c r="U22" s="168">
        <v>1</v>
      </c>
      <c r="V22" s="159">
        <f t="shared" si="0"/>
        <v>80</v>
      </c>
      <c r="W22" s="159">
        <f t="shared" si="1"/>
        <v>102</v>
      </c>
      <c r="X22" s="159">
        <f t="shared" si="2"/>
        <v>6</v>
      </c>
      <c r="Y22" s="170">
        <v>3</v>
      </c>
      <c r="Z22" s="170">
        <v>18</v>
      </c>
    </row>
    <row r="23" spans="1:26" ht="21" x14ac:dyDescent="0.35">
      <c r="A23" s="7">
        <v>1</v>
      </c>
      <c r="B23" s="313" t="s">
        <v>361</v>
      </c>
      <c r="C23" s="152" t="s">
        <v>362</v>
      </c>
      <c r="D23" s="166">
        <v>115</v>
      </c>
      <c r="E23" s="166">
        <v>105</v>
      </c>
      <c r="F23" s="154">
        <v>3</v>
      </c>
      <c r="G23" s="167">
        <v>71</v>
      </c>
      <c r="H23" s="167">
        <v>88</v>
      </c>
      <c r="I23" s="156">
        <v>4</v>
      </c>
      <c r="J23" s="166">
        <v>44</v>
      </c>
      <c r="K23" s="166">
        <v>127</v>
      </c>
      <c r="L23" s="154">
        <v>4</v>
      </c>
      <c r="M23" s="167">
        <v>51</v>
      </c>
      <c r="N23" s="167">
        <v>112</v>
      </c>
      <c r="O23" s="156">
        <v>4</v>
      </c>
      <c r="P23" s="166">
        <v>50</v>
      </c>
      <c r="Q23" s="166">
        <v>79</v>
      </c>
      <c r="R23" s="154">
        <v>3</v>
      </c>
      <c r="S23" s="167">
        <v>37</v>
      </c>
      <c r="T23" s="167">
        <v>65</v>
      </c>
      <c r="U23" s="156">
        <v>2</v>
      </c>
      <c r="V23" s="159">
        <f t="shared" ref="V23:V38" si="3">+D23+G23+J23+M23+P23+S23</f>
        <v>368</v>
      </c>
      <c r="W23" s="159">
        <f t="shared" ref="W23:W86" si="4">E23+H23+K23+N23+Q23+T23</f>
        <v>576</v>
      </c>
      <c r="X23" s="159">
        <f t="shared" ref="X23:X86" si="5">F23+I23+L23+O23+R23+U23</f>
        <v>20</v>
      </c>
      <c r="Y23" s="170">
        <v>9</v>
      </c>
      <c r="Z23" s="170">
        <v>23</v>
      </c>
    </row>
    <row r="24" spans="1:26" ht="21" x14ac:dyDescent="0.35">
      <c r="A24" s="7">
        <v>2</v>
      </c>
      <c r="B24" s="313" t="s">
        <v>361</v>
      </c>
      <c r="C24" s="152" t="s">
        <v>363</v>
      </c>
      <c r="D24" s="166">
        <v>38</v>
      </c>
      <c r="E24" s="166">
        <v>39</v>
      </c>
      <c r="F24" s="154">
        <v>2</v>
      </c>
      <c r="G24" s="167">
        <v>20</v>
      </c>
      <c r="H24" s="167">
        <v>23</v>
      </c>
      <c r="I24" s="156">
        <v>1</v>
      </c>
      <c r="J24" s="166">
        <v>17</v>
      </c>
      <c r="K24" s="166">
        <v>16</v>
      </c>
      <c r="L24" s="166">
        <v>1</v>
      </c>
      <c r="M24" s="167">
        <v>12</v>
      </c>
      <c r="N24" s="167">
        <v>14</v>
      </c>
      <c r="O24" s="156">
        <v>1</v>
      </c>
      <c r="P24" s="166">
        <v>11</v>
      </c>
      <c r="Q24" s="166">
        <v>12</v>
      </c>
      <c r="R24" s="154">
        <v>1</v>
      </c>
      <c r="S24" s="185">
        <v>11</v>
      </c>
      <c r="T24" s="185">
        <v>6</v>
      </c>
      <c r="U24" s="156">
        <v>1</v>
      </c>
      <c r="V24" s="159">
        <f t="shared" si="3"/>
        <v>109</v>
      </c>
      <c r="W24" s="159">
        <f t="shared" si="4"/>
        <v>110</v>
      </c>
      <c r="X24" s="159">
        <f t="shared" si="5"/>
        <v>7</v>
      </c>
      <c r="Y24" s="170">
        <v>2</v>
      </c>
      <c r="Z24" s="170">
        <v>18</v>
      </c>
    </row>
    <row r="25" spans="1:26" ht="21" x14ac:dyDescent="0.35">
      <c r="A25" s="7">
        <v>3</v>
      </c>
      <c r="B25" s="313" t="s">
        <v>361</v>
      </c>
      <c r="C25" s="152" t="s">
        <v>364</v>
      </c>
      <c r="D25" s="169">
        <v>94</v>
      </c>
      <c r="E25" s="154">
        <v>105</v>
      </c>
      <c r="F25" s="154">
        <v>5</v>
      </c>
      <c r="G25" s="156">
        <v>61</v>
      </c>
      <c r="H25" s="156">
        <v>77</v>
      </c>
      <c r="I25" s="156">
        <v>3</v>
      </c>
      <c r="J25" s="154">
        <v>83</v>
      </c>
      <c r="K25" s="154">
        <v>80</v>
      </c>
      <c r="L25" s="154">
        <v>4</v>
      </c>
      <c r="M25" s="156">
        <v>83</v>
      </c>
      <c r="N25" s="156">
        <v>102</v>
      </c>
      <c r="O25" s="156">
        <v>5</v>
      </c>
      <c r="P25" s="154">
        <v>62</v>
      </c>
      <c r="Q25" s="154">
        <v>83</v>
      </c>
      <c r="R25" s="154">
        <v>4</v>
      </c>
      <c r="S25" s="156">
        <v>42</v>
      </c>
      <c r="T25" s="156">
        <v>51</v>
      </c>
      <c r="U25" s="156">
        <v>3</v>
      </c>
      <c r="V25" s="159">
        <f t="shared" si="3"/>
        <v>425</v>
      </c>
      <c r="W25" s="159">
        <f t="shared" si="4"/>
        <v>498</v>
      </c>
      <c r="X25" s="159">
        <f t="shared" si="5"/>
        <v>24</v>
      </c>
      <c r="Y25" s="160">
        <v>2</v>
      </c>
      <c r="Z25" s="160">
        <v>37</v>
      </c>
    </row>
    <row r="26" spans="1:26" ht="21" x14ac:dyDescent="0.35">
      <c r="A26" s="7">
        <v>4</v>
      </c>
      <c r="B26" s="313" t="s">
        <v>361</v>
      </c>
      <c r="C26" s="152" t="s">
        <v>365</v>
      </c>
      <c r="D26" s="166">
        <v>11</v>
      </c>
      <c r="E26" s="166">
        <v>19</v>
      </c>
      <c r="F26" s="154">
        <v>1</v>
      </c>
      <c r="G26" s="167">
        <v>13</v>
      </c>
      <c r="H26" s="167">
        <v>19</v>
      </c>
      <c r="I26" s="156">
        <v>1</v>
      </c>
      <c r="J26" s="166">
        <v>14</v>
      </c>
      <c r="K26" s="166">
        <v>13</v>
      </c>
      <c r="L26" s="154">
        <v>1</v>
      </c>
      <c r="M26" s="167">
        <v>14</v>
      </c>
      <c r="N26" s="167">
        <v>12</v>
      </c>
      <c r="O26" s="156">
        <v>1</v>
      </c>
      <c r="P26" s="176">
        <v>13</v>
      </c>
      <c r="Q26" s="176">
        <v>9</v>
      </c>
      <c r="R26" s="154">
        <v>1</v>
      </c>
      <c r="S26" s="178">
        <v>4</v>
      </c>
      <c r="T26" s="178">
        <v>16</v>
      </c>
      <c r="U26" s="156">
        <v>1</v>
      </c>
      <c r="V26" s="159">
        <f t="shared" si="3"/>
        <v>69</v>
      </c>
      <c r="W26" s="159">
        <f t="shared" si="4"/>
        <v>88</v>
      </c>
      <c r="X26" s="159">
        <f t="shared" si="5"/>
        <v>6</v>
      </c>
      <c r="Y26" s="170">
        <v>1</v>
      </c>
      <c r="Z26" s="170">
        <v>14</v>
      </c>
    </row>
    <row r="27" spans="1:26" ht="21" x14ac:dyDescent="0.35">
      <c r="A27" s="7">
        <v>5</v>
      </c>
      <c r="B27" s="313" t="s">
        <v>361</v>
      </c>
      <c r="C27" s="152" t="s">
        <v>366</v>
      </c>
      <c r="D27" s="166">
        <v>35</v>
      </c>
      <c r="E27" s="166">
        <v>33</v>
      </c>
      <c r="F27" s="154">
        <v>2</v>
      </c>
      <c r="G27" s="167">
        <v>25</v>
      </c>
      <c r="H27" s="167">
        <v>26</v>
      </c>
      <c r="I27" s="156">
        <v>1</v>
      </c>
      <c r="J27" s="166">
        <v>27</v>
      </c>
      <c r="K27" s="166">
        <v>43</v>
      </c>
      <c r="L27" s="154">
        <v>2</v>
      </c>
      <c r="M27" s="167">
        <v>25</v>
      </c>
      <c r="N27" s="167">
        <v>36</v>
      </c>
      <c r="O27" s="156">
        <v>2</v>
      </c>
      <c r="P27" s="166">
        <v>41</v>
      </c>
      <c r="Q27" s="166">
        <v>41</v>
      </c>
      <c r="R27" s="154">
        <v>2</v>
      </c>
      <c r="S27" s="167">
        <v>22</v>
      </c>
      <c r="T27" s="167">
        <v>21</v>
      </c>
      <c r="U27" s="156">
        <v>1</v>
      </c>
      <c r="V27" s="159">
        <f t="shared" si="3"/>
        <v>175</v>
      </c>
      <c r="W27" s="159">
        <f t="shared" si="4"/>
        <v>200</v>
      </c>
      <c r="X27" s="159">
        <f t="shared" si="5"/>
        <v>10</v>
      </c>
      <c r="Y27" s="170">
        <v>2</v>
      </c>
      <c r="Z27" s="170">
        <v>15</v>
      </c>
    </row>
    <row r="28" spans="1:26" ht="21" x14ac:dyDescent="0.35">
      <c r="A28" s="7">
        <v>6</v>
      </c>
      <c r="B28" s="313" t="s">
        <v>361</v>
      </c>
      <c r="C28" s="152" t="s">
        <v>367</v>
      </c>
      <c r="D28" s="166">
        <v>23</v>
      </c>
      <c r="E28" s="166">
        <v>20</v>
      </c>
      <c r="F28" s="154">
        <v>1</v>
      </c>
      <c r="G28" s="167">
        <v>27</v>
      </c>
      <c r="H28" s="167">
        <v>18</v>
      </c>
      <c r="I28" s="156">
        <v>1</v>
      </c>
      <c r="J28" s="166">
        <v>37</v>
      </c>
      <c r="K28" s="166">
        <v>21</v>
      </c>
      <c r="L28" s="154">
        <v>1</v>
      </c>
      <c r="M28" s="167">
        <v>13</v>
      </c>
      <c r="N28" s="167">
        <v>24</v>
      </c>
      <c r="O28" s="156">
        <v>1</v>
      </c>
      <c r="P28" s="166">
        <v>23</v>
      </c>
      <c r="Q28" s="166">
        <v>14</v>
      </c>
      <c r="R28" s="154">
        <v>1</v>
      </c>
      <c r="S28" s="167">
        <v>34</v>
      </c>
      <c r="T28" s="167">
        <v>17</v>
      </c>
      <c r="U28" s="156">
        <v>1</v>
      </c>
      <c r="V28" s="159">
        <f t="shared" si="3"/>
        <v>157</v>
      </c>
      <c r="W28" s="159">
        <f t="shared" si="4"/>
        <v>114</v>
      </c>
      <c r="X28" s="159">
        <f t="shared" si="5"/>
        <v>6</v>
      </c>
      <c r="Y28" s="170">
        <v>3</v>
      </c>
      <c r="Z28" s="170">
        <v>7</v>
      </c>
    </row>
    <row r="29" spans="1:26" ht="21" x14ac:dyDescent="0.35">
      <c r="A29" s="7">
        <v>7</v>
      </c>
      <c r="B29" s="313" t="s">
        <v>361</v>
      </c>
      <c r="C29" s="152" t="s">
        <v>368</v>
      </c>
      <c r="D29" s="166">
        <v>22</v>
      </c>
      <c r="E29" s="166">
        <v>26</v>
      </c>
      <c r="F29" s="186">
        <v>1</v>
      </c>
      <c r="G29" s="167">
        <v>20</v>
      </c>
      <c r="H29" s="167">
        <v>16</v>
      </c>
      <c r="I29" s="158">
        <v>1</v>
      </c>
      <c r="J29" s="166">
        <v>24</v>
      </c>
      <c r="K29" s="166">
        <v>34</v>
      </c>
      <c r="L29" s="186">
        <v>1</v>
      </c>
      <c r="M29" s="167">
        <v>23</v>
      </c>
      <c r="N29" s="167">
        <v>20</v>
      </c>
      <c r="O29" s="158">
        <v>1</v>
      </c>
      <c r="P29" s="166">
        <v>34</v>
      </c>
      <c r="Q29" s="166">
        <v>20</v>
      </c>
      <c r="R29" s="186">
        <v>1</v>
      </c>
      <c r="S29" s="167">
        <v>25</v>
      </c>
      <c r="T29" s="167">
        <v>17</v>
      </c>
      <c r="U29" s="158">
        <v>1</v>
      </c>
      <c r="V29" s="159">
        <f t="shared" si="3"/>
        <v>148</v>
      </c>
      <c r="W29" s="159">
        <f t="shared" si="4"/>
        <v>133</v>
      </c>
      <c r="X29" s="159">
        <f t="shared" si="5"/>
        <v>6</v>
      </c>
      <c r="Y29" s="170">
        <v>3</v>
      </c>
      <c r="Z29" s="170">
        <v>9</v>
      </c>
    </row>
    <row r="30" spans="1:26" ht="21" x14ac:dyDescent="0.35">
      <c r="A30" s="7">
        <v>8</v>
      </c>
      <c r="B30" s="313" t="s">
        <v>361</v>
      </c>
      <c r="C30" s="152" t="s">
        <v>369</v>
      </c>
      <c r="D30" s="153">
        <v>61</v>
      </c>
      <c r="E30" s="186">
        <v>50</v>
      </c>
      <c r="F30" s="186">
        <v>2</v>
      </c>
      <c r="G30" s="158">
        <v>54</v>
      </c>
      <c r="H30" s="158">
        <v>37</v>
      </c>
      <c r="I30" s="158">
        <v>2</v>
      </c>
      <c r="J30" s="186">
        <v>32</v>
      </c>
      <c r="K30" s="186">
        <v>33</v>
      </c>
      <c r="L30" s="186">
        <v>2</v>
      </c>
      <c r="M30" s="158">
        <v>16</v>
      </c>
      <c r="N30" s="158">
        <v>15</v>
      </c>
      <c r="O30" s="158">
        <v>1</v>
      </c>
      <c r="P30" s="186">
        <v>19</v>
      </c>
      <c r="Q30" s="186">
        <v>22</v>
      </c>
      <c r="R30" s="186">
        <v>1</v>
      </c>
      <c r="S30" s="158">
        <v>16</v>
      </c>
      <c r="T30" s="158">
        <v>12</v>
      </c>
      <c r="U30" s="158">
        <v>1</v>
      </c>
      <c r="V30" s="159">
        <f t="shared" si="3"/>
        <v>198</v>
      </c>
      <c r="W30" s="159">
        <f t="shared" si="4"/>
        <v>169</v>
      </c>
      <c r="X30" s="159">
        <f t="shared" si="5"/>
        <v>9</v>
      </c>
      <c r="Y30" s="160">
        <v>5</v>
      </c>
      <c r="Z30" s="160">
        <v>17</v>
      </c>
    </row>
    <row r="31" spans="1:26" ht="21" x14ac:dyDescent="0.35">
      <c r="A31" s="7">
        <v>9</v>
      </c>
      <c r="B31" s="313" t="s">
        <v>361</v>
      </c>
      <c r="C31" s="152" t="s">
        <v>370</v>
      </c>
      <c r="D31" s="169">
        <v>14</v>
      </c>
      <c r="E31" s="154">
        <v>25</v>
      </c>
      <c r="F31" s="154">
        <v>1</v>
      </c>
      <c r="G31" s="156">
        <v>19</v>
      </c>
      <c r="H31" s="156">
        <v>21</v>
      </c>
      <c r="I31" s="156">
        <v>1</v>
      </c>
      <c r="J31" s="154">
        <v>14</v>
      </c>
      <c r="K31" s="154">
        <v>14</v>
      </c>
      <c r="L31" s="154">
        <v>1</v>
      </c>
      <c r="M31" s="156">
        <v>13</v>
      </c>
      <c r="N31" s="156">
        <v>15</v>
      </c>
      <c r="O31" s="156">
        <v>1</v>
      </c>
      <c r="P31" s="154">
        <v>14</v>
      </c>
      <c r="Q31" s="154">
        <v>12</v>
      </c>
      <c r="R31" s="154">
        <v>1</v>
      </c>
      <c r="S31" s="156">
        <v>5</v>
      </c>
      <c r="T31" s="156">
        <v>12</v>
      </c>
      <c r="U31" s="156">
        <v>1</v>
      </c>
      <c r="V31" s="159">
        <f t="shared" si="3"/>
        <v>79</v>
      </c>
      <c r="W31" s="159">
        <f t="shared" si="4"/>
        <v>99</v>
      </c>
      <c r="X31" s="159">
        <f t="shared" si="5"/>
        <v>6</v>
      </c>
      <c r="Y31" s="190">
        <v>5</v>
      </c>
      <c r="Z31" s="190">
        <v>14</v>
      </c>
    </row>
    <row r="32" spans="1:26" ht="21" x14ac:dyDescent="0.35">
      <c r="A32" s="7">
        <v>10</v>
      </c>
      <c r="B32" s="313" t="s">
        <v>361</v>
      </c>
      <c r="C32" s="152" t="s">
        <v>371</v>
      </c>
      <c r="D32" s="153">
        <v>10</v>
      </c>
      <c r="E32" s="186">
        <v>5</v>
      </c>
      <c r="F32" s="186">
        <v>1</v>
      </c>
      <c r="G32" s="158">
        <v>9</v>
      </c>
      <c r="H32" s="158">
        <v>6</v>
      </c>
      <c r="I32" s="158">
        <v>1</v>
      </c>
      <c r="J32" s="186">
        <v>8</v>
      </c>
      <c r="K32" s="186">
        <v>6</v>
      </c>
      <c r="L32" s="186">
        <v>1</v>
      </c>
      <c r="M32" s="158">
        <v>4</v>
      </c>
      <c r="N32" s="158">
        <v>7</v>
      </c>
      <c r="O32" s="158">
        <v>1</v>
      </c>
      <c r="P32" s="186">
        <v>5</v>
      </c>
      <c r="Q32" s="186">
        <v>7</v>
      </c>
      <c r="R32" s="186">
        <v>1</v>
      </c>
      <c r="S32" s="158">
        <v>4</v>
      </c>
      <c r="T32" s="158">
        <v>0</v>
      </c>
      <c r="U32" s="158">
        <v>1</v>
      </c>
      <c r="V32" s="159">
        <f t="shared" si="3"/>
        <v>40</v>
      </c>
      <c r="W32" s="159">
        <f t="shared" si="4"/>
        <v>31</v>
      </c>
      <c r="X32" s="159">
        <f t="shared" si="5"/>
        <v>6</v>
      </c>
      <c r="Y32" s="160">
        <v>1</v>
      </c>
      <c r="Z32" s="160">
        <v>11</v>
      </c>
    </row>
    <row r="33" spans="1:26" ht="21" x14ac:dyDescent="0.35">
      <c r="A33" s="7">
        <v>11</v>
      </c>
      <c r="B33" s="313" t="s">
        <v>361</v>
      </c>
      <c r="C33" s="152" t="s">
        <v>372</v>
      </c>
      <c r="D33" s="169">
        <v>44</v>
      </c>
      <c r="E33" s="154">
        <v>37</v>
      </c>
      <c r="F33" s="154">
        <v>2</v>
      </c>
      <c r="G33" s="156">
        <v>23</v>
      </c>
      <c r="H33" s="156">
        <v>19</v>
      </c>
      <c r="I33" s="156">
        <v>1</v>
      </c>
      <c r="J33" s="154">
        <v>38</v>
      </c>
      <c r="K33" s="154">
        <v>34</v>
      </c>
      <c r="L33" s="154">
        <v>2</v>
      </c>
      <c r="M33" s="156">
        <v>35</v>
      </c>
      <c r="N33" s="156">
        <v>20</v>
      </c>
      <c r="O33" s="156">
        <v>2</v>
      </c>
      <c r="P33" s="154">
        <v>20</v>
      </c>
      <c r="Q33" s="154">
        <v>24</v>
      </c>
      <c r="R33" s="154">
        <v>1</v>
      </c>
      <c r="S33" s="156">
        <v>31</v>
      </c>
      <c r="T33" s="156">
        <v>24</v>
      </c>
      <c r="U33" s="156">
        <v>1</v>
      </c>
      <c r="V33" s="159">
        <f t="shared" si="3"/>
        <v>191</v>
      </c>
      <c r="W33" s="159">
        <f t="shared" si="4"/>
        <v>158</v>
      </c>
      <c r="X33" s="159">
        <f t="shared" si="5"/>
        <v>9</v>
      </c>
      <c r="Y33" s="191">
        <v>3</v>
      </c>
      <c r="Z33" s="191">
        <v>17</v>
      </c>
    </row>
    <row r="34" spans="1:26" ht="21" x14ac:dyDescent="0.35">
      <c r="A34" s="7">
        <v>12</v>
      </c>
      <c r="B34" s="313" t="s">
        <v>361</v>
      </c>
      <c r="C34" s="152" t="s">
        <v>373</v>
      </c>
      <c r="D34" s="166">
        <v>12</v>
      </c>
      <c r="E34" s="166">
        <v>17</v>
      </c>
      <c r="F34" s="154">
        <v>1</v>
      </c>
      <c r="G34" s="167">
        <v>4</v>
      </c>
      <c r="H34" s="167">
        <v>13</v>
      </c>
      <c r="I34" s="156">
        <v>1</v>
      </c>
      <c r="J34" s="166">
        <v>15</v>
      </c>
      <c r="K34" s="166">
        <v>19</v>
      </c>
      <c r="L34" s="154">
        <v>1</v>
      </c>
      <c r="M34" s="167">
        <v>15</v>
      </c>
      <c r="N34" s="167">
        <v>18</v>
      </c>
      <c r="O34" s="156">
        <v>1</v>
      </c>
      <c r="P34" s="166">
        <v>11</v>
      </c>
      <c r="Q34" s="166">
        <v>13</v>
      </c>
      <c r="R34" s="154">
        <v>1</v>
      </c>
      <c r="S34" s="167">
        <v>8</v>
      </c>
      <c r="T34" s="167">
        <v>16</v>
      </c>
      <c r="U34" s="156">
        <v>1</v>
      </c>
      <c r="V34" s="159">
        <f t="shared" si="3"/>
        <v>65</v>
      </c>
      <c r="W34" s="159">
        <f t="shared" si="4"/>
        <v>96</v>
      </c>
      <c r="X34" s="159">
        <f t="shared" si="5"/>
        <v>6</v>
      </c>
      <c r="Y34" s="170">
        <v>3</v>
      </c>
      <c r="Z34" s="170">
        <v>16</v>
      </c>
    </row>
    <row r="35" spans="1:26" ht="21" x14ac:dyDescent="0.35">
      <c r="A35" s="7">
        <v>13</v>
      </c>
      <c r="B35" s="313" t="s">
        <v>361</v>
      </c>
      <c r="C35" s="152" t="s">
        <v>374</v>
      </c>
      <c r="D35" s="166">
        <v>22</v>
      </c>
      <c r="E35" s="166">
        <v>21</v>
      </c>
      <c r="F35" s="166">
        <v>1</v>
      </c>
      <c r="G35" s="167">
        <v>18</v>
      </c>
      <c r="H35" s="167">
        <v>14</v>
      </c>
      <c r="I35" s="167">
        <v>1</v>
      </c>
      <c r="J35" s="166">
        <v>12</v>
      </c>
      <c r="K35" s="166">
        <v>12</v>
      </c>
      <c r="L35" s="166">
        <v>1</v>
      </c>
      <c r="M35" s="167">
        <v>7</v>
      </c>
      <c r="N35" s="167">
        <v>18</v>
      </c>
      <c r="O35" s="167">
        <v>1</v>
      </c>
      <c r="P35" s="166">
        <v>7</v>
      </c>
      <c r="Q35" s="166">
        <v>14</v>
      </c>
      <c r="R35" s="166">
        <v>1</v>
      </c>
      <c r="S35" s="192">
        <v>8</v>
      </c>
      <c r="T35" s="192">
        <v>12</v>
      </c>
      <c r="U35" s="192">
        <v>1</v>
      </c>
      <c r="V35" s="159">
        <f t="shared" si="3"/>
        <v>74</v>
      </c>
      <c r="W35" s="159">
        <f t="shared" si="4"/>
        <v>91</v>
      </c>
      <c r="X35" s="159">
        <f t="shared" si="5"/>
        <v>6</v>
      </c>
      <c r="Y35" s="170">
        <v>3</v>
      </c>
      <c r="Z35" s="170">
        <v>8</v>
      </c>
    </row>
    <row r="36" spans="1:26" ht="21" x14ac:dyDescent="0.35">
      <c r="A36" s="7">
        <v>14</v>
      </c>
      <c r="B36" s="313" t="s">
        <v>361</v>
      </c>
      <c r="C36" s="152" t="s">
        <v>375</v>
      </c>
      <c r="D36" s="166">
        <v>6</v>
      </c>
      <c r="E36" s="166">
        <v>6</v>
      </c>
      <c r="F36" s="154">
        <v>1</v>
      </c>
      <c r="G36" s="167">
        <v>4</v>
      </c>
      <c r="H36" s="167">
        <v>10</v>
      </c>
      <c r="I36" s="193">
        <v>1</v>
      </c>
      <c r="J36" s="166">
        <v>2</v>
      </c>
      <c r="K36" s="166">
        <v>5</v>
      </c>
      <c r="L36" s="194">
        <v>1</v>
      </c>
      <c r="M36" s="167">
        <v>3</v>
      </c>
      <c r="N36" s="167">
        <v>1</v>
      </c>
      <c r="O36" s="193">
        <v>1</v>
      </c>
      <c r="P36" s="166">
        <v>2</v>
      </c>
      <c r="Q36" s="166">
        <v>1</v>
      </c>
      <c r="R36" s="194">
        <v>1</v>
      </c>
      <c r="S36" s="156">
        <v>0</v>
      </c>
      <c r="T36" s="156">
        <v>0</v>
      </c>
      <c r="U36" s="156">
        <v>0</v>
      </c>
      <c r="V36" s="159">
        <f t="shared" si="3"/>
        <v>17</v>
      </c>
      <c r="W36" s="159">
        <f t="shared" si="4"/>
        <v>23</v>
      </c>
      <c r="X36" s="159">
        <f t="shared" si="5"/>
        <v>5</v>
      </c>
      <c r="Y36" s="170">
        <v>2</v>
      </c>
      <c r="Z36" s="170">
        <v>6</v>
      </c>
    </row>
    <row r="37" spans="1:26" ht="21" x14ac:dyDescent="0.35">
      <c r="A37" s="7">
        <v>15</v>
      </c>
      <c r="B37" s="313" t="s">
        <v>361</v>
      </c>
      <c r="C37" s="152" t="s">
        <v>376</v>
      </c>
      <c r="D37" s="195">
        <v>4</v>
      </c>
      <c r="E37" s="180">
        <v>7</v>
      </c>
      <c r="F37" s="180">
        <v>1</v>
      </c>
      <c r="G37" s="182">
        <v>5</v>
      </c>
      <c r="H37" s="182">
        <v>4</v>
      </c>
      <c r="I37" s="182">
        <v>1</v>
      </c>
      <c r="J37" s="180">
        <v>2</v>
      </c>
      <c r="K37" s="180">
        <v>9</v>
      </c>
      <c r="L37" s="180">
        <v>1</v>
      </c>
      <c r="M37" s="182">
        <v>4</v>
      </c>
      <c r="N37" s="182">
        <v>2</v>
      </c>
      <c r="O37" s="182">
        <v>1</v>
      </c>
      <c r="P37" s="180">
        <v>2</v>
      </c>
      <c r="Q37" s="180">
        <v>3</v>
      </c>
      <c r="R37" s="180">
        <v>1</v>
      </c>
      <c r="S37" s="182">
        <v>7</v>
      </c>
      <c r="T37" s="182">
        <v>5</v>
      </c>
      <c r="U37" s="182">
        <v>1</v>
      </c>
      <c r="V37" s="159">
        <f t="shared" si="3"/>
        <v>24</v>
      </c>
      <c r="W37" s="159">
        <f t="shared" si="4"/>
        <v>30</v>
      </c>
      <c r="X37" s="159">
        <f t="shared" si="5"/>
        <v>6</v>
      </c>
      <c r="Y37" s="196">
        <v>3</v>
      </c>
      <c r="Z37" s="196">
        <v>8</v>
      </c>
    </row>
    <row r="38" spans="1:26" ht="21" x14ac:dyDescent="0.35">
      <c r="A38" s="7">
        <v>16</v>
      </c>
      <c r="B38" s="313" t="s">
        <v>361</v>
      </c>
      <c r="C38" s="152" t="s">
        <v>377</v>
      </c>
      <c r="D38" s="166">
        <v>1</v>
      </c>
      <c r="E38" s="166">
        <v>1</v>
      </c>
      <c r="F38" s="154">
        <v>1</v>
      </c>
      <c r="G38" s="167">
        <v>2</v>
      </c>
      <c r="H38" s="167">
        <v>1</v>
      </c>
      <c r="I38" s="156">
        <v>1</v>
      </c>
      <c r="J38" s="166">
        <v>2</v>
      </c>
      <c r="K38" s="166">
        <v>4</v>
      </c>
      <c r="L38" s="154">
        <v>1</v>
      </c>
      <c r="M38" s="156">
        <v>3</v>
      </c>
      <c r="N38" s="156">
        <v>4</v>
      </c>
      <c r="O38" s="156">
        <v>1</v>
      </c>
      <c r="P38" s="166">
        <v>2</v>
      </c>
      <c r="Q38" s="166">
        <v>2</v>
      </c>
      <c r="R38" s="154">
        <v>1</v>
      </c>
      <c r="S38" s="156"/>
      <c r="T38" s="156"/>
      <c r="U38" s="156"/>
      <c r="V38" s="159">
        <f t="shared" si="3"/>
        <v>10</v>
      </c>
      <c r="W38" s="159">
        <f t="shared" si="4"/>
        <v>12</v>
      </c>
      <c r="X38" s="159">
        <f t="shared" si="5"/>
        <v>5</v>
      </c>
      <c r="Y38" s="170">
        <v>1</v>
      </c>
      <c r="Z38" s="170">
        <v>7</v>
      </c>
    </row>
    <row r="39" spans="1:26" ht="21" x14ac:dyDescent="0.35">
      <c r="A39" s="7">
        <v>1</v>
      </c>
      <c r="B39" s="314" t="s">
        <v>378</v>
      </c>
      <c r="C39" s="189" t="s">
        <v>379</v>
      </c>
      <c r="D39" s="198">
        <v>50</v>
      </c>
      <c r="E39" s="198">
        <v>80</v>
      </c>
      <c r="F39" s="154">
        <v>3</v>
      </c>
      <c r="G39" s="200">
        <v>34</v>
      </c>
      <c r="H39" s="200">
        <v>78</v>
      </c>
      <c r="I39" s="156">
        <v>2</v>
      </c>
      <c r="J39" s="198">
        <v>30</v>
      </c>
      <c r="K39" s="198">
        <v>63</v>
      </c>
      <c r="L39" s="154">
        <v>2</v>
      </c>
      <c r="M39" s="200">
        <v>41</v>
      </c>
      <c r="N39" s="200">
        <v>80</v>
      </c>
      <c r="O39" s="156">
        <v>3</v>
      </c>
      <c r="P39" s="198">
        <v>35</v>
      </c>
      <c r="Q39" s="198">
        <v>73</v>
      </c>
      <c r="R39" s="154">
        <v>3</v>
      </c>
      <c r="S39" s="200">
        <v>43</v>
      </c>
      <c r="T39" s="200">
        <v>88</v>
      </c>
      <c r="U39" s="156">
        <v>3</v>
      </c>
      <c r="V39" s="159">
        <f t="shared" ref="V39:V102" si="6">D39+G39+J39+M39+P39+S39</f>
        <v>233</v>
      </c>
      <c r="W39" s="159">
        <f t="shared" si="4"/>
        <v>462</v>
      </c>
      <c r="X39" s="159">
        <f t="shared" si="5"/>
        <v>16</v>
      </c>
      <c r="Y39" s="201">
        <v>2</v>
      </c>
      <c r="Z39" s="201">
        <v>23</v>
      </c>
    </row>
    <row r="40" spans="1:26" ht="21" x14ac:dyDescent="0.35">
      <c r="A40" s="7">
        <v>2</v>
      </c>
      <c r="B40" s="314" t="s">
        <v>378</v>
      </c>
      <c r="C40" s="189" t="s">
        <v>380</v>
      </c>
      <c r="D40" s="166">
        <v>39</v>
      </c>
      <c r="E40" s="166">
        <v>46</v>
      </c>
      <c r="F40" s="154">
        <v>2</v>
      </c>
      <c r="G40" s="167">
        <v>35</v>
      </c>
      <c r="H40" s="167">
        <v>58</v>
      </c>
      <c r="I40" s="156">
        <v>2</v>
      </c>
      <c r="J40" s="166">
        <v>43</v>
      </c>
      <c r="K40" s="166">
        <v>50</v>
      </c>
      <c r="L40" s="154">
        <v>2</v>
      </c>
      <c r="M40" s="167">
        <v>29</v>
      </c>
      <c r="N40" s="167">
        <v>48</v>
      </c>
      <c r="O40" s="156">
        <v>2</v>
      </c>
      <c r="P40" s="166">
        <v>20</v>
      </c>
      <c r="Q40" s="166">
        <v>44</v>
      </c>
      <c r="R40" s="154">
        <v>2</v>
      </c>
      <c r="S40" s="167">
        <v>35</v>
      </c>
      <c r="T40" s="167">
        <v>61</v>
      </c>
      <c r="U40" s="156">
        <v>2</v>
      </c>
      <c r="V40" s="159">
        <f t="shared" si="6"/>
        <v>201</v>
      </c>
      <c r="W40" s="159">
        <f t="shared" si="4"/>
        <v>307</v>
      </c>
      <c r="X40" s="159">
        <f t="shared" si="5"/>
        <v>12</v>
      </c>
      <c r="Y40" s="170">
        <v>2</v>
      </c>
      <c r="Z40" s="170">
        <v>19</v>
      </c>
    </row>
    <row r="41" spans="1:26" ht="21" x14ac:dyDescent="0.35">
      <c r="A41" s="7">
        <v>3</v>
      </c>
      <c r="B41" s="314" t="s">
        <v>378</v>
      </c>
      <c r="C41" s="189" t="s">
        <v>381</v>
      </c>
      <c r="D41" s="186">
        <v>170</v>
      </c>
      <c r="E41" s="186">
        <v>64</v>
      </c>
      <c r="F41" s="186">
        <v>5</v>
      </c>
      <c r="G41" s="161">
        <v>19</v>
      </c>
      <c r="H41" s="161">
        <v>30</v>
      </c>
      <c r="I41" s="158">
        <v>1</v>
      </c>
      <c r="J41" s="162">
        <v>122</v>
      </c>
      <c r="K41" s="162">
        <v>44</v>
      </c>
      <c r="L41" s="186">
        <v>4</v>
      </c>
      <c r="M41" s="161">
        <v>15</v>
      </c>
      <c r="N41" s="161">
        <v>32</v>
      </c>
      <c r="O41" s="158">
        <v>1</v>
      </c>
      <c r="P41" s="162">
        <v>20</v>
      </c>
      <c r="Q41" s="162">
        <v>18</v>
      </c>
      <c r="R41" s="186">
        <v>1</v>
      </c>
      <c r="S41" s="161">
        <v>49</v>
      </c>
      <c r="T41" s="161">
        <v>22</v>
      </c>
      <c r="U41" s="158">
        <v>5</v>
      </c>
      <c r="V41" s="159">
        <f t="shared" si="6"/>
        <v>395</v>
      </c>
      <c r="W41" s="159">
        <f t="shared" si="4"/>
        <v>210</v>
      </c>
      <c r="X41" s="159">
        <f t="shared" si="5"/>
        <v>17</v>
      </c>
      <c r="Y41" s="165">
        <v>19</v>
      </c>
      <c r="Z41" s="165">
        <v>18</v>
      </c>
    </row>
    <row r="42" spans="1:26" ht="21" x14ac:dyDescent="0.35">
      <c r="A42" s="7">
        <v>4</v>
      </c>
      <c r="B42" s="314" t="s">
        <v>378</v>
      </c>
      <c r="C42" s="189" t="s">
        <v>382</v>
      </c>
      <c r="D42" s="162">
        <v>44</v>
      </c>
      <c r="E42" s="162">
        <v>20</v>
      </c>
      <c r="F42" s="162">
        <v>2</v>
      </c>
      <c r="G42" s="161">
        <v>32</v>
      </c>
      <c r="H42" s="161">
        <v>29</v>
      </c>
      <c r="I42" s="161">
        <v>2</v>
      </c>
      <c r="J42" s="162">
        <v>42</v>
      </c>
      <c r="K42" s="162">
        <v>19</v>
      </c>
      <c r="L42" s="162">
        <v>2</v>
      </c>
      <c r="M42" s="161">
        <v>20</v>
      </c>
      <c r="N42" s="161">
        <v>34</v>
      </c>
      <c r="O42" s="161">
        <v>2</v>
      </c>
      <c r="P42" s="162">
        <v>26</v>
      </c>
      <c r="Q42" s="162">
        <v>40</v>
      </c>
      <c r="R42" s="162">
        <v>2</v>
      </c>
      <c r="S42" s="161">
        <v>32</v>
      </c>
      <c r="T42" s="161">
        <v>38</v>
      </c>
      <c r="U42" s="161">
        <v>2</v>
      </c>
      <c r="V42" s="159">
        <f t="shared" si="6"/>
        <v>196</v>
      </c>
      <c r="W42" s="159">
        <f t="shared" si="4"/>
        <v>180</v>
      </c>
      <c r="X42" s="159">
        <f t="shared" si="5"/>
        <v>12</v>
      </c>
      <c r="Y42" s="165">
        <v>4</v>
      </c>
      <c r="Z42" s="165">
        <v>14</v>
      </c>
    </row>
    <row r="43" spans="1:26" ht="21" x14ac:dyDescent="0.35">
      <c r="A43" s="7">
        <v>5</v>
      </c>
      <c r="B43" s="314" t="s">
        <v>378</v>
      </c>
      <c r="C43" s="189" t="s">
        <v>383</v>
      </c>
      <c r="D43" s="166">
        <v>34</v>
      </c>
      <c r="E43" s="166">
        <v>56</v>
      </c>
      <c r="F43" s="154">
        <v>2</v>
      </c>
      <c r="G43" s="167">
        <v>38</v>
      </c>
      <c r="H43" s="167">
        <v>45</v>
      </c>
      <c r="I43" s="156">
        <v>2</v>
      </c>
      <c r="J43" s="166">
        <v>36</v>
      </c>
      <c r="K43" s="166">
        <v>57</v>
      </c>
      <c r="L43" s="154">
        <v>2</v>
      </c>
      <c r="M43" s="167">
        <v>31</v>
      </c>
      <c r="N43" s="167">
        <v>51</v>
      </c>
      <c r="O43" s="156">
        <v>2</v>
      </c>
      <c r="P43" s="166">
        <v>31</v>
      </c>
      <c r="Q43" s="166">
        <v>51</v>
      </c>
      <c r="R43" s="154">
        <v>2</v>
      </c>
      <c r="S43" s="178">
        <v>43</v>
      </c>
      <c r="T43" s="178">
        <v>52</v>
      </c>
      <c r="U43" s="156">
        <v>2</v>
      </c>
      <c r="V43" s="159">
        <f t="shared" si="6"/>
        <v>213</v>
      </c>
      <c r="W43" s="159">
        <f t="shared" si="4"/>
        <v>312</v>
      </c>
      <c r="X43" s="159">
        <f t="shared" si="5"/>
        <v>12</v>
      </c>
      <c r="Y43" s="170">
        <v>6</v>
      </c>
      <c r="Z43" s="170">
        <v>15</v>
      </c>
    </row>
    <row r="44" spans="1:26" ht="21" x14ac:dyDescent="0.35">
      <c r="A44" s="7">
        <v>6</v>
      </c>
      <c r="B44" s="314" t="s">
        <v>378</v>
      </c>
      <c r="C44" s="189" t="s">
        <v>384</v>
      </c>
      <c r="D44" s="166">
        <v>12</v>
      </c>
      <c r="E44" s="166">
        <v>20</v>
      </c>
      <c r="F44" s="154">
        <v>1</v>
      </c>
      <c r="G44" s="167">
        <v>17</v>
      </c>
      <c r="H44" s="167">
        <v>14</v>
      </c>
      <c r="I44" s="156">
        <v>1</v>
      </c>
      <c r="J44" s="166">
        <v>13</v>
      </c>
      <c r="K44" s="166">
        <v>17</v>
      </c>
      <c r="L44" s="154">
        <v>2</v>
      </c>
      <c r="M44" s="167">
        <v>18</v>
      </c>
      <c r="N44" s="167">
        <v>18</v>
      </c>
      <c r="O44" s="156">
        <v>1</v>
      </c>
      <c r="P44" s="176">
        <v>14</v>
      </c>
      <c r="Q44" s="176">
        <v>19</v>
      </c>
      <c r="R44" s="154">
        <v>1</v>
      </c>
      <c r="S44" s="178">
        <v>31</v>
      </c>
      <c r="T44" s="178">
        <v>30</v>
      </c>
      <c r="U44" s="156">
        <v>1</v>
      </c>
      <c r="V44" s="159">
        <f t="shared" si="6"/>
        <v>105</v>
      </c>
      <c r="W44" s="159">
        <f t="shared" si="4"/>
        <v>118</v>
      </c>
      <c r="X44" s="159">
        <f t="shared" si="5"/>
        <v>7</v>
      </c>
      <c r="Y44" s="170">
        <v>6</v>
      </c>
      <c r="Z44" s="170">
        <v>18</v>
      </c>
    </row>
    <row r="45" spans="1:26" ht="21" x14ac:dyDescent="0.35">
      <c r="A45" s="7">
        <v>7</v>
      </c>
      <c r="B45" s="314" t="s">
        <v>378</v>
      </c>
      <c r="C45" s="189" t="s">
        <v>385</v>
      </c>
      <c r="D45" s="166">
        <v>20</v>
      </c>
      <c r="E45" s="166">
        <v>13</v>
      </c>
      <c r="F45" s="154">
        <v>1</v>
      </c>
      <c r="G45" s="167">
        <v>18</v>
      </c>
      <c r="H45" s="167">
        <v>22</v>
      </c>
      <c r="I45" s="182">
        <v>1</v>
      </c>
      <c r="J45" s="166">
        <v>24</v>
      </c>
      <c r="K45" s="166">
        <v>20</v>
      </c>
      <c r="L45" s="180">
        <v>1</v>
      </c>
      <c r="M45" s="167">
        <v>14</v>
      </c>
      <c r="N45" s="167">
        <v>16</v>
      </c>
      <c r="O45" s="182">
        <v>1</v>
      </c>
      <c r="P45" s="166">
        <v>21</v>
      </c>
      <c r="Q45" s="166">
        <v>13</v>
      </c>
      <c r="R45" s="180">
        <v>1</v>
      </c>
      <c r="S45" s="167">
        <v>19</v>
      </c>
      <c r="T45" s="167">
        <v>22</v>
      </c>
      <c r="U45" s="182">
        <v>1</v>
      </c>
      <c r="V45" s="159">
        <f t="shared" si="6"/>
        <v>116</v>
      </c>
      <c r="W45" s="159">
        <f t="shared" si="4"/>
        <v>106</v>
      </c>
      <c r="X45" s="159">
        <f t="shared" si="5"/>
        <v>6</v>
      </c>
      <c r="Y45" s="170">
        <v>3</v>
      </c>
      <c r="Z45" s="170">
        <v>10</v>
      </c>
    </row>
    <row r="46" spans="1:26" ht="21" x14ac:dyDescent="0.35">
      <c r="A46" s="7">
        <v>8</v>
      </c>
      <c r="B46" s="314" t="s">
        <v>378</v>
      </c>
      <c r="C46" s="189" t="s">
        <v>386</v>
      </c>
      <c r="D46" s="154">
        <v>18</v>
      </c>
      <c r="E46" s="154">
        <v>19</v>
      </c>
      <c r="F46" s="154">
        <v>1</v>
      </c>
      <c r="G46" s="156">
        <v>22</v>
      </c>
      <c r="H46" s="156">
        <v>16</v>
      </c>
      <c r="I46" s="156">
        <v>1</v>
      </c>
      <c r="J46" s="154">
        <v>15</v>
      </c>
      <c r="K46" s="154">
        <v>18</v>
      </c>
      <c r="L46" s="154">
        <v>1</v>
      </c>
      <c r="M46" s="156">
        <v>18</v>
      </c>
      <c r="N46" s="156">
        <v>20</v>
      </c>
      <c r="O46" s="156">
        <v>1</v>
      </c>
      <c r="P46" s="154">
        <v>18</v>
      </c>
      <c r="Q46" s="154">
        <v>23</v>
      </c>
      <c r="R46" s="154">
        <v>1</v>
      </c>
      <c r="S46" s="156">
        <v>22</v>
      </c>
      <c r="T46" s="156">
        <v>16</v>
      </c>
      <c r="U46" s="156">
        <v>1</v>
      </c>
      <c r="V46" s="159">
        <f t="shared" si="6"/>
        <v>113</v>
      </c>
      <c r="W46" s="159">
        <f t="shared" si="4"/>
        <v>112</v>
      </c>
      <c r="X46" s="159">
        <f t="shared" si="5"/>
        <v>6</v>
      </c>
      <c r="Y46" s="191">
        <v>3</v>
      </c>
      <c r="Z46" s="191">
        <v>15</v>
      </c>
    </row>
    <row r="47" spans="1:26" ht="21" x14ac:dyDescent="0.35">
      <c r="A47" s="7">
        <v>9</v>
      </c>
      <c r="B47" s="314" t="s">
        <v>378</v>
      </c>
      <c r="C47" s="189" t="s">
        <v>387</v>
      </c>
      <c r="D47" s="186">
        <v>16</v>
      </c>
      <c r="E47" s="186">
        <v>14</v>
      </c>
      <c r="F47" s="186">
        <v>1</v>
      </c>
      <c r="G47" s="158">
        <v>20</v>
      </c>
      <c r="H47" s="158">
        <v>22</v>
      </c>
      <c r="I47" s="158">
        <v>1</v>
      </c>
      <c r="J47" s="186">
        <v>10</v>
      </c>
      <c r="K47" s="186">
        <v>18</v>
      </c>
      <c r="L47" s="186">
        <v>1</v>
      </c>
      <c r="M47" s="158">
        <v>16</v>
      </c>
      <c r="N47" s="158">
        <v>3</v>
      </c>
      <c r="O47" s="158">
        <v>1</v>
      </c>
      <c r="P47" s="186">
        <v>10</v>
      </c>
      <c r="Q47" s="186">
        <v>17</v>
      </c>
      <c r="R47" s="186">
        <v>1</v>
      </c>
      <c r="S47" s="158">
        <v>10</v>
      </c>
      <c r="T47" s="158">
        <v>14</v>
      </c>
      <c r="U47" s="158">
        <v>1</v>
      </c>
      <c r="V47" s="159">
        <f t="shared" si="6"/>
        <v>82</v>
      </c>
      <c r="W47" s="159">
        <f t="shared" si="4"/>
        <v>88</v>
      </c>
      <c r="X47" s="159">
        <f t="shared" si="5"/>
        <v>6</v>
      </c>
      <c r="Y47" s="160">
        <v>2</v>
      </c>
      <c r="Z47" s="160">
        <v>6</v>
      </c>
    </row>
    <row r="48" spans="1:26" ht="21" x14ac:dyDescent="0.35">
      <c r="A48" s="7">
        <v>10</v>
      </c>
      <c r="B48" s="314" t="s">
        <v>378</v>
      </c>
      <c r="C48" s="189" t="s">
        <v>388</v>
      </c>
      <c r="D48" s="166">
        <v>12</v>
      </c>
      <c r="E48" s="166">
        <v>2</v>
      </c>
      <c r="F48" s="154">
        <v>1</v>
      </c>
      <c r="G48" s="167">
        <v>8</v>
      </c>
      <c r="H48" s="167">
        <v>4</v>
      </c>
      <c r="I48" s="156">
        <v>1</v>
      </c>
      <c r="J48" s="166">
        <v>4</v>
      </c>
      <c r="K48" s="166">
        <v>6</v>
      </c>
      <c r="L48" s="154">
        <v>1</v>
      </c>
      <c r="M48" s="167">
        <v>6</v>
      </c>
      <c r="N48" s="167">
        <v>9</v>
      </c>
      <c r="O48" s="156">
        <v>1</v>
      </c>
      <c r="P48" s="166">
        <v>1</v>
      </c>
      <c r="Q48" s="166">
        <v>3</v>
      </c>
      <c r="R48" s="154">
        <v>1</v>
      </c>
      <c r="S48" s="167">
        <v>16</v>
      </c>
      <c r="T48" s="167">
        <v>11</v>
      </c>
      <c r="U48" s="156">
        <v>1</v>
      </c>
      <c r="V48" s="159">
        <f t="shared" si="6"/>
        <v>47</v>
      </c>
      <c r="W48" s="159">
        <f t="shared" si="4"/>
        <v>35</v>
      </c>
      <c r="X48" s="159">
        <f t="shared" si="5"/>
        <v>6</v>
      </c>
      <c r="Y48" s="170">
        <v>1</v>
      </c>
      <c r="Z48" s="170">
        <v>9</v>
      </c>
    </row>
    <row r="49" spans="1:27" ht="21" x14ac:dyDescent="0.35">
      <c r="A49" s="7">
        <v>11</v>
      </c>
      <c r="B49" s="314" t="s">
        <v>378</v>
      </c>
      <c r="C49" s="189" t="s">
        <v>389</v>
      </c>
      <c r="D49" s="166">
        <v>23</v>
      </c>
      <c r="E49" s="166">
        <v>24</v>
      </c>
      <c r="F49" s="166">
        <v>1</v>
      </c>
      <c r="G49" s="167">
        <v>19</v>
      </c>
      <c r="H49" s="167">
        <v>30</v>
      </c>
      <c r="I49" s="167">
        <v>1</v>
      </c>
      <c r="J49" s="166">
        <v>23</v>
      </c>
      <c r="K49" s="166">
        <v>18</v>
      </c>
      <c r="L49" s="166">
        <v>1</v>
      </c>
      <c r="M49" s="167">
        <v>15</v>
      </c>
      <c r="N49" s="167">
        <v>32</v>
      </c>
      <c r="O49" s="167">
        <v>1</v>
      </c>
      <c r="P49" s="176">
        <v>20</v>
      </c>
      <c r="Q49" s="176">
        <v>18</v>
      </c>
      <c r="R49" s="166">
        <v>1</v>
      </c>
      <c r="S49" s="178">
        <v>17</v>
      </c>
      <c r="T49" s="178">
        <v>9</v>
      </c>
      <c r="U49" s="167">
        <v>1</v>
      </c>
      <c r="V49" s="159">
        <f t="shared" si="6"/>
        <v>117</v>
      </c>
      <c r="W49" s="159">
        <f t="shared" si="4"/>
        <v>131</v>
      </c>
      <c r="X49" s="159">
        <f t="shared" si="5"/>
        <v>6</v>
      </c>
      <c r="Y49" s="170">
        <v>7</v>
      </c>
      <c r="Z49" s="170">
        <v>7</v>
      </c>
    </row>
    <row r="50" spans="1:27" ht="21" x14ac:dyDescent="0.35">
      <c r="A50" s="7">
        <v>12</v>
      </c>
      <c r="B50" s="314" t="s">
        <v>378</v>
      </c>
      <c r="C50" s="189" t="s">
        <v>390</v>
      </c>
      <c r="D50" s="166">
        <v>44</v>
      </c>
      <c r="E50" s="166">
        <v>51</v>
      </c>
      <c r="F50" s="154">
        <v>2</v>
      </c>
      <c r="G50" s="167">
        <v>30</v>
      </c>
      <c r="H50" s="167">
        <v>42</v>
      </c>
      <c r="I50" s="156">
        <v>2</v>
      </c>
      <c r="J50" s="166">
        <v>44</v>
      </c>
      <c r="K50" s="166">
        <v>42</v>
      </c>
      <c r="L50" s="154">
        <v>2</v>
      </c>
      <c r="M50" s="167">
        <v>28</v>
      </c>
      <c r="N50" s="167">
        <v>30</v>
      </c>
      <c r="O50" s="156">
        <v>2</v>
      </c>
      <c r="P50" s="166">
        <v>20</v>
      </c>
      <c r="Q50" s="166">
        <v>40</v>
      </c>
      <c r="R50" s="154">
        <v>2</v>
      </c>
      <c r="S50" s="167">
        <v>20</v>
      </c>
      <c r="T50" s="167">
        <v>30</v>
      </c>
      <c r="U50" s="156">
        <v>2</v>
      </c>
      <c r="V50" s="159">
        <f t="shared" si="6"/>
        <v>186</v>
      </c>
      <c r="W50" s="159">
        <f t="shared" si="4"/>
        <v>235</v>
      </c>
      <c r="X50" s="159">
        <f t="shared" si="5"/>
        <v>12</v>
      </c>
      <c r="Y50" s="170">
        <v>3</v>
      </c>
      <c r="Z50" s="170">
        <v>18</v>
      </c>
    </row>
    <row r="51" spans="1:27" ht="21" x14ac:dyDescent="0.35">
      <c r="A51" s="7">
        <v>13</v>
      </c>
      <c r="B51" s="314" t="s">
        <v>378</v>
      </c>
      <c r="C51" s="189" t="s">
        <v>391</v>
      </c>
      <c r="D51" s="166">
        <v>25</v>
      </c>
      <c r="E51" s="166">
        <v>22</v>
      </c>
      <c r="F51" s="154">
        <v>1</v>
      </c>
      <c r="G51" s="167">
        <v>21</v>
      </c>
      <c r="H51" s="167">
        <v>31</v>
      </c>
      <c r="I51" s="156">
        <v>1</v>
      </c>
      <c r="J51" s="166">
        <v>19</v>
      </c>
      <c r="K51" s="166">
        <v>24</v>
      </c>
      <c r="L51" s="154">
        <v>1</v>
      </c>
      <c r="M51" s="167">
        <v>11</v>
      </c>
      <c r="N51" s="167">
        <v>20</v>
      </c>
      <c r="O51" s="156">
        <v>1</v>
      </c>
      <c r="P51" s="176">
        <v>15</v>
      </c>
      <c r="Q51" s="176">
        <v>15</v>
      </c>
      <c r="R51" s="154">
        <v>5</v>
      </c>
      <c r="S51" s="167">
        <v>5</v>
      </c>
      <c r="T51" s="167">
        <v>15</v>
      </c>
      <c r="U51" s="156">
        <v>1</v>
      </c>
      <c r="V51" s="159">
        <f t="shared" si="6"/>
        <v>96</v>
      </c>
      <c r="W51" s="159">
        <f t="shared" si="4"/>
        <v>127</v>
      </c>
      <c r="X51" s="159">
        <f t="shared" si="5"/>
        <v>10</v>
      </c>
      <c r="Y51" s="170">
        <v>3</v>
      </c>
      <c r="Z51" s="170">
        <v>13</v>
      </c>
    </row>
    <row r="52" spans="1:27" ht="21" x14ac:dyDescent="0.35">
      <c r="A52" s="7">
        <v>14</v>
      </c>
      <c r="B52" s="314" t="s">
        <v>378</v>
      </c>
      <c r="C52" s="189" t="s">
        <v>392</v>
      </c>
      <c r="D52" s="154">
        <v>6</v>
      </c>
      <c r="E52" s="154">
        <v>6</v>
      </c>
      <c r="F52" s="154">
        <v>1</v>
      </c>
      <c r="G52" s="156">
        <v>3</v>
      </c>
      <c r="H52" s="156">
        <v>7</v>
      </c>
      <c r="I52" s="156">
        <v>1</v>
      </c>
      <c r="J52" s="154">
        <v>6</v>
      </c>
      <c r="K52" s="154">
        <v>5</v>
      </c>
      <c r="L52" s="154">
        <v>1</v>
      </c>
      <c r="M52" s="156">
        <v>13</v>
      </c>
      <c r="N52" s="156">
        <v>2</v>
      </c>
      <c r="O52" s="156">
        <v>1</v>
      </c>
      <c r="P52" s="154">
        <v>6</v>
      </c>
      <c r="Q52" s="154">
        <v>5</v>
      </c>
      <c r="R52" s="154">
        <v>1</v>
      </c>
      <c r="S52" s="156">
        <v>7</v>
      </c>
      <c r="T52" s="156">
        <v>1</v>
      </c>
      <c r="U52" s="156">
        <v>1</v>
      </c>
      <c r="V52" s="159">
        <f t="shared" si="6"/>
        <v>41</v>
      </c>
      <c r="W52" s="159">
        <f t="shared" si="4"/>
        <v>26</v>
      </c>
      <c r="X52" s="159">
        <f t="shared" si="5"/>
        <v>6</v>
      </c>
      <c r="Y52" s="191">
        <v>4</v>
      </c>
      <c r="Z52" s="191">
        <v>14</v>
      </c>
    </row>
    <row r="53" spans="1:27" ht="21" x14ac:dyDescent="0.35">
      <c r="A53" s="7">
        <v>15</v>
      </c>
      <c r="B53" s="314" t="s">
        <v>378</v>
      </c>
      <c r="C53" s="189" t="s">
        <v>393</v>
      </c>
      <c r="D53" s="166">
        <v>21</v>
      </c>
      <c r="E53" s="166">
        <v>31</v>
      </c>
      <c r="F53" s="154">
        <v>1</v>
      </c>
      <c r="G53" s="167">
        <v>24</v>
      </c>
      <c r="H53" s="167">
        <v>23</v>
      </c>
      <c r="I53" s="156">
        <v>1</v>
      </c>
      <c r="J53" s="166">
        <v>33</v>
      </c>
      <c r="K53" s="166">
        <v>28</v>
      </c>
      <c r="L53" s="154">
        <v>1</v>
      </c>
      <c r="M53" s="167">
        <v>11</v>
      </c>
      <c r="N53" s="167">
        <v>25</v>
      </c>
      <c r="O53" s="156">
        <v>1</v>
      </c>
      <c r="P53" s="154">
        <v>0</v>
      </c>
      <c r="Q53" s="154">
        <v>0</v>
      </c>
      <c r="R53" s="154">
        <v>0</v>
      </c>
      <c r="S53" s="156">
        <v>0</v>
      </c>
      <c r="T53" s="156">
        <v>0</v>
      </c>
      <c r="U53" s="156">
        <v>0</v>
      </c>
      <c r="V53" s="159">
        <f t="shared" si="6"/>
        <v>89</v>
      </c>
      <c r="W53" s="159">
        <f t="shared" si="4"/>
        <v>107</v>
      </c>
      <c r="X53" s="159">
        <f t="shared" si="5"/>
        <v>4</v>
      </c>
      <c r="Y53" s="170">
        <v>4</v>
      </c>
      <c r="Z53" s="170">
        <v>8</v>
      </c>
    </row>
    <row r="54" spans="1:27" ht="21" x14ac:dyDescent="0.3">
      <c r="A54" s="8">
        <v>1</v>
      </c>
      <c r="B54" s="315" t="s">
        <v>690</v>
      </c>
      <c r="C54" s="203" t="s">
        <v>395</v>
      </c>
      <c r="D54" s="162">
        <v>0</v>
      </c>
      <c r="E54" s="162">
        <v>125</v>
      </c>
      <c r="F54" s="186">
        <v>4</v>
      </c>
      <c r="G54" s="161">
        <v>0</v>
      </c>
      <c r="H54" s="161">
        <v>76</v>
      </c>
      <c r="I54" s="158">
        <v>4</v>
      </c>
      <c r="J54" s="162">
        <v>0</v>
      </c>
      <c r="K54" s="162">
        <v>105</v>
      </c>
      <c r="L54" s="186">
        <v>3</v>
      </c>
      <c r="M54" s="161">
        <v>0</v>
      </c>
      <c r="N54" s="161">
        <v>253</v>
      </c>
      <c r="O54" s="158">
        <v>5</v>
      </c>
      <c r="P54" s="162">
        <v>0</v>
      </c>
      <c r="Q54" s="162">
        <v>206</v>
      </c>
      <c r="R54" s="186">
        <v>5</v>
      </c>
      <c r="S54" s="161">
        <v>0</v>
      </c>
      <c r="T54" s="161">
        <v>172</v>
      </c>
      <c r="U54" s="158">
        <v>4</v>
      </c>
      <c r="V54" s="187">
        <f t="shared" si="6"/>
        <v>0</v>
      </c>
      <c r="W54" s="187">
        <f t="shared" si="4"/>
        <v>937</v>
      </c>
      <c r="X54" s="187">
        <f t="shared" si="5"/>
        <v>25</v>
      </c>
      <c r="Y54" s="201">
        <v>3</v>
      </c>
      <c r="Z54" s="201">
        <v>19</v>
      </c>
    </row>
    <row r="55" spans="1:27" ht="21" x14ac:dyDescent="0.3">
      <c r="A55" s="8">
        <v>2</v>
      </c>
      <c r="B55" s="315" t="s">
        <v>690</v>
      </c>
      <c r="C55" s="203" t="s">
        <v>396</v>
      </c>
      <c r="D55" s="155">
        <v>71</v>
      </c>
      <c r="E55" s="155">
        <v>90</v>
      </c>
      <c r="F55" s="155">
        <v>3</v>
      </c>
      <c r="G55" s="157">
        <v>73</v>
      </c>
      <c r="H55" s="157">
        <v>76</v>
      </c>
      <c r="I55" s="157">
        <v>3</v>
      </c>
      <c r="J55" s="199">
        <v>77</v>
      </c>
      <c r="K55" s="199">
        <v>83</v>
      </c>
      <c r="L55" s="155">
        <v>4</v>
      </c>
      <c r="M55" s="157">
        <v>42</v>
      </c>
      <c r="N55" s="157">
        <v>66</v>
      </c>
      <c r="O55" s="157">
        <v>3</v>
      </c>
      <c r="P55" s="155">
        <v>63</v>
      </c>
      <c r="Q55" s="155">
        <v>52</v>
      </c>
      <c r="R55" s="155">
        <v>3</v>
      </c>
      <c r="S55" s="157">
        <v>51</v>
      </c>
      <c r="T55" s="157">
        <v>54</v>
      </c>
      <c r="U55" s="157">
        <v>2</v>
      </c>
      <c r="V55" s="187">
        <f t="shared" si="6"/>
        <v>377</v>
      </c>
      <c r="W55" s="187">
        <f t="shared" si="4"/>
        <v>421</v>
      </c>
      <c r="X55" s="187">
        <f t="shared" si="5"/>
        <v>18</v>
      </c>
      <c r="Y55" s="204">
        <v>3</v>
      </c>
      <c r="Z55" s="204">
        <v>24</v>
      </c>
    </row>
    <row r="56" spans="1:27" ht="21" x14ac:dyDescent="0.3">
      <c r="A56" s="8">
        <v>3</v>
      </c>
      <c r="B56" s="315" t="s">
        <v>690</v>
      </c>
      <c r="C56" s="203" t="s">
        <v>397</v>
      </c>
      <c r="D56" s="166"/>
      <c r="E56" s="166"/>
      <c r="F56" s="186"/>
      <c r="G56" s="167"/>
      <c r="H56" s="167"/>
      <c r="I56" s="158"/>
      <c r="J56" s="186"/>
      <c r="K56" s="186"/>
      <c r="L56" s="186"/>
      <c r="M56" s="167">
        <v>0</v>
      </c>
      <c r="N56" s="167">
        <v>252</v>
      </c>
      <c r="O56" s="158">
        <v>5</v>
      </c>
      <c r="P56" s="186">
        <v>0</v>
      </c>
      <c r="Q56" s="186">
        <v>205</v>
      </c>
      <c r="R56" s="186">
        <v>5</v>
      </c>
      <c r="S56" s="167">
        <v>0</v>
      </c>
      <c r="T56" s="167">
        <v>172</v>
      </c>
      <c r="U56" s="158">
        <v>4</v>
      </c>
      <c r="V56" s="187">
        <f t="shared" si="6"/>
        <v>0</v>
      </c>
      <c r="W56" s="187">
        <f t="shared" si="4"/>
        <v>629</v>
      </c>
      <c r="X56" s="187">
        <f t="shared" si="5"/>
        <v>14</v>
      </c>
      <c r="Y56" s="170">
        <v>3</v>
      </c>
      <c r="Z56" s="170">
        <v>19</v>
      </c>
    </row>
    <row r="57" spans="1:27" ht="21" x14ac:dyDescent="0.3">
      <c r="A57" s="8">
        <v>4</v>
      </c>
      <c r="B57" s="315" t="s">
        <v>690</v>
      </c>
      <c r="C57" s="203" t="s">
        <v>398</v>
      </c>
      <c r="D57" s="205">
        <v>114</v>
      </c>
      <c r="E57" s="205">
        <v>126</v>
      </c>
      <c r="F57" s="154">
        <v>5</v>
      </c>
      <c r="G57" s="206">
        <v>93</v>
      </c>
      <c r="H57" s="206">
        <v>92</v>
      </c>
      <c r="I57" s="156">
        <v>4</v>
      </c>
      <c r="J57" s="154">
        <v>67</v>
      </c>
      <c r="K57" s="154">
        <v>87</v>
      </c>
      <c r="L57" s="154">
        <v>4</v>
      </c>
      <c r="M57" s="156">
        <v>80</v>
      </c>
      <c r="N57" s="156">
        <v>90</v>
      </c>
      <c r="O57" s="156">
        <v>4</v>
      </c>
      <c r="P57" s="205">
        <v>75</v>
      </c>
      <c r="Q57" s="205">
        <v>72</v>
      </c>
      <c r="R57" s="154">
        <v>3</v>
      </c>
      <c r="S57" s="156">
        <v>50</v>
      </c>
      <c r="T57" s="156">
        <v>43</v>
      </c>
      <c r="U57" s="156">
        <v>2</v>
      </c>
      <c r="V57" s="187">
        <f t="shared" si="6"/>
        <v>479</v>
      </c>
      <c r="W57" s="187">
        <f t="shared" si="4"/>
        <v>510</v>
      </c>
      <c r="X57" s="187">
        <f t="shared" si="5"/>
        <v>22</v>
      </c>
      <c r="Y57" s="191">
        <v>1</v>
      </c>
      <c r="Z57" s="191">
        <v>20</v>
      </c>
    </row>
    <row r="58" spans="1:27" ht="21" x14ac:dyDescent="0.3">
      <c r="A58" s="8">
        <v>5</v>
      </c>
      <c r="B58" s="315" t="s">
        <v>690</v>
      </c>
      <c r="C58" s="203" t="s">
        <v>399</v>
      </c>
      <c r="D58" s="166">
        <v>49</v>
      </c>
      <c r="E58" s="166">
        <v>24</v>
      </c>
      <c r="F58" s="154">
        <v>2</v>
      </c>
      <c r="G58" s="167">
        <v>53</v>
      </c>
      <c r="H58" s="167">
        <v>40</v>
      </c>
      <c r="I58" s="156">
        <v>3</v>
      </c>
      <c r="J58" s="166">
        <v>61</v>
      </c>
      <c r="K58" s="166">
        <v>39</v>
      </c>
      <c r="L58" s="154">
        <v>3</v>
      </c>
      <c r="M58" s="167">
        <v>42</v>
      </c>
      <c r="N58" s="167">
        <v>42</v>
      </c>
      <c r="O58" s="156">
        <v>2</v>
      </c>
      <c r="P58" s="166">
        <v>32</v>
      </c>
      <c r="Q58" s="166">
        <v>30</v>
      </c>
      <c r="R58" s="154">
        <v>2</v>
      </c>
      <c r="S58" s="167">
        <v>30</v>
      </c>
      <c r="T58" s="167">
        <v>32</v>
      </c>
      <c r="U58" s="156">
        <v>3</v>
      </c>
      <c r="V58" s="187">
        <f t="shared" si="6"/>
        <v>267</v>
      </c>
      <c r="W58" s="187">
        <f t="shared" si="4"/>
        <v>207</v>
      </c>
      <c r="X58" s="187">
        <f t="shared" si="5"/>
        <v>15</v>
      </c>
      <c r="Y58" s="170">
        <v>1</v>
      </c>
      <c r="Z58" s="170">
        <v>16</v>
      </c>
    </row>
    <row r="59" spans="1:27" ht="21" x14ac:dyDescent="0.3">
      <c r="A59" s="8">
        <v>6</v>
      </c>
      <c r="B59" s="315" t="s">
        <v>690</v>
      </c>
      <c r="C59" s="203" t="s">
        <v>400</v>
      </c>
      <c r="D59" s="166">
        <v>52</v>
      </c>
      <c r="E59" s="166">
        <v>44</v>
      </c>
      <c r="F59" s="154">
        <v>2</v>
      </c>
      <c r="G59" s="167">
        <v>38</v>
      </c>
      <c r="H59" s="167">
        <v>30</v>
      </c>
      <c r="I59" s="156">
        <v>2</v>
      </c>
      <c r="J59" s="166">
        <v>39</v>
      </c>
      <c r="K59" s="166">
        <v>40</v>
      </c>
      <c r="L59" s="154">
        <v>3</v>
      </c>
      <c r="M59" s="167">
        <v>40</v>
      </c>
      <c r="N59" s="167">
        <v>29</v>
      </c>
      <c r="O59" s="156">
        <v>2</v>
      </c>
      <c r="P59" s="166">
        <v>14</v>
      </c>
      <c r="Q59" s="166">
        <v>23</v>
      </c>
      <c r="R59" s="154">
        <v>2</v>
      </c>
      <c r="S59" s="167">
        <v>22</v>
      </c>
      <c r="T59" s="167">
        <v>19</v>
      </c>
      <c r="U59" s="156">
        <v>2</v>
      </c>
      <c r="V59" s="187">
        <f t="shared" si="6"/>
        <v>205</v>
      </c>
      <c r="W59" s="187">
        <f t="shared" si="4"/>
        <v>185</v>
      </c>
      <c r="X59" s="187">
        <f t="shared" si="5"/>
        <v>13</v>
      </c>
      <c r="Y59" s="170">
        <v>5</v>
      </c>
      <c r="Z59" s="170">
        <v>9</v>
      </c>
    </row>
    <row r="60" spans="1:27" ht="21" x14ac:dyDescent="0.3">
      <c r="A60" s="8">
        <v>7</v>
      </c>
      <c r="B60" s="315" t="s">
        <v>690</v>
      </c>
      <c r="C60" s="203" t="s">
        <v>401</v>
      </c>
      <c r="D60" s="162">
        <v>225</v>
      </c>
      <c r="E60" s="162">
        <v>0</v>
      </c>
      <c r="F60" s="154">
        <v>5</v>
      </c>
      <c r="G60" s="161">
        <v>181</v>
      </c>
      <c r="H60" s="161">
        <v>0</v>
      </c>
      <c r="I60" s="156">
        <v>4</v>
      </c>
      <c r="J60" s="162">
        <v>202</v>
      </c>
      <c r="K60" s="162">
        <v>0</v>
      </c>
      <c r="L60" s="154">
        <v>5</v>
      </c>
      <c r="M60" s="161">
        <v>188</v>
      </c>
      <c r="N60" s="161">
        <v>0</v>
      </c>
      <c r="O60" s="156">
        <v>4</v>
      </c>
      <c r="P60" s="162">
        <v>182</v>
      </c>
      <c r="Q60" s="162">
        <v>0</v>
      </c>
      <c r="R60" s="154">
        <v>5</v>
      </c>
      <c r="S60" s="161">
        <v>135</v>
      </c>
      <c r="T60" s="161">
        <v>0</v>
      </c>
      <c r="U60" s="156">
        <v>4</v>
      </c>
      <c r="V60" s="187">
        <f t="shared" si="6"/>
        <v>1113</v>
      </c>
      <c r="W60" s="187">
        <f t="shared" si="4"/>
        <v>0</v>
      </c>
      <c r="X60" s="187">
        <f t="shared" si="5"/>
        <v>27</v>
      </c>
      <c r="Y60" s="170">
        <v>22</v>
      </c>
      <c r="Z60" s="170">
        <v>26</v>
      </c>
    </row>
    <row r="61" spans="1:27" ht="21" x14ac:dyDescent="0.3">
      <c r="A61" s="8">
        <v>8</v>
      </c>
      <c r="B61" s="315" t="s">
        <v>690</v>
      </c>
      <c r="C61" s="203" t="s">
        <v>402</v>
      </c>
      <c r="D61" s="166">
        <v>11</v>
      </c>
      <c r="E61" s="166">
        <v>19</v>
      </c>
      <c r="F61" s="154">
        <v>2</v>
      </c>
      <c r="G61" s="167">
        <v>33</v>
      </c>
      <c r="H61" s="167">
        <v>23</v>
      </c>
      <c r="I61" s="156">
        <v>2</v>
      </c>
      <c r="J61" s="166">
        <v>17</v>
      </c>
      <c r="K61" s="166">
        <v>7</v>
      </c>
      <c r="L61" s="154">
        <v>2</v>
      </c>
      <c r="M61" s="167">
        <v>16</v>
      </c>
      <c r="N61" s="167">
        <v>14</v>
      </c>
      <c r="O61" s="156">
        <v>2</v>
      </c>
      <c r="P61" s="166">
        <v>21</v>
      </c>
      <c r="Q61" s="166">
        <v>21</v>
      </c>
      <c r="R61" s="154">
        <v>2</v>
      </c>
      <c r="S61" s="167">
        <v>22</v>
      </c>
      <c r="T61" s="167">
        <v>26</v>
      </c>
      <c r="U61" s="156">
        <v>2</v>
      </c>
      <c r="V61" s="187">
        <f t="shared" si="6"/>
        <v>120</v>
      </c>
      <c r="W61" s="187">
        <f t="shared" si="4"/>
        <v>110</v>
      </c>
      <c r="X61" s="187">
        <f t="shared" si="5"/>
        <v>12</v>
      </c>
      <c r="Y61" s="170">
        <v>6</v>
      </c>
      <c r="Z61" s="170">
        <v>23</v>
      </c>
    </row>
    <row r="62" spans="1:27" ht="21" x14ac:dyDescent="0.3">
      <c r="A62" s="8">
        <v>9</v>
      </c>
      <c r="B62" s="315" t="s">
        <v>690</v>
      </c>
      <c r="C62" s="203" t="s">
        <v>403</v>
      </c>
      <c r="D62" s="166">
        <v>59</v>
      </c>
      <c r="E62" s="166">
        <v>54</v>
      </c>
      <c r="F62" s="154">
        <v>3</v>
      </c>
      <c r="G62" s="167">
        <v>53</v>
      </c>
      <c r="H62" s="167">
        <v>43</v>
      </c>
      <c r="I62" s="156">
        <v>2</v>
      </c>
      <c r="J62" s="166">
        <v>35</v>
      </c>
      <c r="K62" s="166">
        <v>29</v>
      </c>
      <c r="L62" s="154">
        <v>2</v>
      </c>
      <c r="M62" s="167">
        <v>43</v>
      </c>
      <c r="N62" s="167">
        <v>37</v>
      </c>
      <c r="O62" s="156">
        <v>2</v>
      </c>
      <c r="P62" s="166">
        <v>22</v>
      </c>
      <c r="Q62" s="166">
        <v>18</v>
      </c>
      <c r="R62" s="154">
        <v>2</v>
      </c>
      <c r="S62" s="167">
        <v>22</v>
      </c>
      <c r="T62" s="167">
        <v>19</v>
      </c>
      <c r="U62" s="156">
        <v>2</v>
      </c>
      <c r="V62" s="187">
        <f t="shared" si="6"/>
        <v>234</v>
      </c>
      <c r="W62" s="187">
        <f t="shared" si="4"/>
        <v>200</v>
      </c>
      <c r="X62" s="187">
        <f t="shared" si="5"/>
        <v>13</v>
      </c>
      <c r="Y62" s="191">
        <v>1</v>
      </c>
      <c r="Z62" s="191">
        <v>19</v>
      </c>
    </row>
    <row r="63" spans="1:27" ht="21" x14ac:dyDescent="0.3">
      <c r="A63" s="8">
        <v>10</v>
      </c>
      <c r="B63" s="315" t="s">
        <v>690</v>
      </c>
      <c r="C63" s="203" t="s">
        <v>404</v>
      </c>
      <c r="D63" s="186">
        <v>51</v>
      </c>
      <c r="E63" s="186">
        <v>43</v>
      </c>
      <c r="F63" s="188">
        <v>3</v>
      </c>
      <c r="G63" s="206">
        <v>62</v>
      </c>
      <c r="H63" s="206">
        <v>50</v>
      </c>
      <c r="I63" s="189">
        <v>3</v>
      </c>
      <c r="J63" s="186">
        <v>57</v>
      </c>
      <c r="K63" s="186">
        <v>42</v>
      </c>
      <c r="L63" s="188">
        <v>3</v>
      </c>
      <c r="M63" s="206">
        <v>43</v>
      </c>
      <c r="N63" s="206">
        <v>53</v>
      </c>
      <c r="O63" s="189">
        <v>2</v>
      </c>
      <c r="P63" s="205">
        <v>37</v>
      </c>
      <c r="Q63" s="205">
        <v>37</v>
      </c>
      <c r="R63" s="188">
        <v>2</v>
      </c>
      <c r="S63" s="206">
        <v>38</v>
      </c>
      <c r="T63" s="206">
        <v>50</v>
      </c>
      <c r="U63" s="189">
        <v>2</v>
      </c>
      <c r="V63" s="187">
        <f t="shared" si="6"/>
        <v>288</v>
      </c>
      <c r="W63" s="187">
        <f t="shared" si="4"/>
        <v>275</v>
      </c>
      <c r="X63" s="187">
        <f t="shared" si="5"/>
        <v>15</v>
      </c>
      <c r="Y63" s="160">
        <v>2</v>
      </c>
      <c r="Z63" s="160">
        <v>19</v>
      </c>
    </row>
    <row r="64" spans="1:27" ht="21" x14ac:dyDescent="0.3">
      <c r="A64" s="8">
        <v>11</v>
      </c>
      <c r="B64" s="315" t="s">
        <v>690</v>
      </c>
      <c r="C64" s="203" t="s">
        <v>405</v>
      </c>
      <c r="D64" s="207">
        <v>17</v>
      </c>
      <c r="E64" s="207" t="s">
        <v>39</v>
      </c>
      <c r="F64" s="154">
        <v>1</v>
      </c>
      <c r="G64" s="208">
        <v>12</v>
      </c>
      <c r="H64" s="208" t="s">
        <v>40</v>
      </c>
      <c r="I64" s="156">
        <v>1</v>
      </c>
      <c r="J64" s="207">
        <v>7</v>
      </c>
      <c r="K64" s="207" t="s">
        <v>41</v>
      </c>
      <c r="L64" s="154">
        <v>1</v>
      </c>
      <c r="M64" s="208">
        <v>17</v>
      </c>
      <c r="N64" s="208" t="s">
        <v>43</v>
      </c>
      <c r="O64" s="156">
        <v>1</v>
      </c>
      <c r="P64" s="207">
        <v>16</v>
      </c>
      <c r="Q64" s="207" t="s">
        <v>44</v>
      </c>
      <c r="R64" s="154">
        <v>1</v>
      </c>
      <c r="S64" s="156" t="s">
        <v>661</v>
      </c>
      <c r="T64" s="156" t="s">
        <v>42</v>
      </c>
      <c r="U64" s="156">
        <v>1</v>
      </c>
      <c r="V64" s="187">
        <f t="shared" si="6"/>
        <v>86</v>
      </c>
      <c r="W64" s="187">
        <f t="shared" si="4"/>
        <v>79</v>
      </c>
      <c r="X64" s="187">
        <f t="shared" si="5"/>
        <v>6</v>
      </c>
      <c r="Y64" s="209">
        <v>6</v>
      </c>
      <c r="Z64" s="209">
        <v>18</v>
      </c>
      <c r="AA64" s="15"/>
    </row>
    <row r="65" spans="1:26" ht="21" x14ac:dyDescent="0.3">
      <c r="A65" s="8">
        <v>12</v>
      </c>
      <c r="B65" s="315" t="s">
        <v>690</v>
      </c>
      <c r="C65" s="203" t="s">
        <v>406</v>
      </c>
      <c r="D65" s="186">
        <v>45</v>
      </c>
      <c r="E65" s="186">
        <v>68</v>
      </c>
      <c r="F65" s="186">
        <v>3</v>
      </c>
      <c r="G65" s="158">
        <v>62</v>
      </c>
      <c r="H65" s="158">
        <v>49</v>
      </c>
      <c r="I65" s="158">
        <v>3</v>
      </c>
      <c r="J65" s="186">
        <v>53</v>
      </c>
      <c r="K65" s="186">
        <v>50</v>
      </c>
      <c r="L65" s="186">
        <v>3</v>
      </c>
      <c r="M65" s="158">
        <v>33</v>
      </c>
      <c r="N65" s="158">
        <v>48</v>
      </c>
      <c r="O65" s="158">
        <v>3</v>
      </c>
      <c r="P65" s="186">
        <v>33</v>
      </c>
      <c r="Q65" s="186">
        <v>58</v>
      </c>
      <c r="R65" s="186">
        <v>3</v>
      </c>
      <c r="S65" s="158">
        <v>23</v>
      </c>
      <c r="T65" s="158">
        <v>44</v>
      </c>
      <c r="U65" s="158">
        <v>3</v>
      </c>
      <c r="V65" s="187">
        <f t="shared" si="6"/>
        <v>249</v>
      </c>
      <c r="W65" s="187">
        <f t="shared" si="4"/>
        <v>317</v>
      </c>
      <c r="X65" s="187">
        <f t="shared" si="5"/>
        <v>18</v>
      </c>
      <c r="Y65" s="160" t="s">
        <v>660</v>
      </c>
      <c r="Z65" s="160">
        <v>12</v>
      </c>
    </row>
    <row r="66" spans="1:26" ht="21" x14ac:dyDescent="0.3">
      <c r="A66" s="8">
        <v>13</v>
      </c>
      <c r="B66" s="315" t="s">
        <v>690</v>
      </c>
      <c r="C66" s="203" t="s">
        <v>407</v>
      </c>
      <c r="D66" s="166">
        <v>12</v>
      </c>
      <c r="E66" s="166">
        <v>0</v>
      </c>
      <c r="F66" s="155">
        <v>1</v>
      </c>
      <c r="G66" s="167">
        <v>16</v>
      </c>
      <c r="H66" s="167">
        <v>0</v>
      </c>
      <c r="I66" s="157">
        <v>1</v>
      </c>
      <c r="J66" s="166">
        <v>22</v>
      </c>
      <c r="K66" s="166">
        <v>0</v>
      </c>
      <c r="L66" s="155">
        <v>1</v>
      </c>
      <c r="M66" s="167">
        <v>16</v>
      </c>
      <c r="N66" s="167">
        <v>0</v>
      </c>
      <c r="O66" s="157">
        <v>1</v>
      </c>
      <c r="P66" s="166">
        <v>26</v>
      </c>
      <c r="Q66" s="166">
        <v>0</v>
      </c>
      <c r="R66" s="155">
        <v>1</v>
      </c>
      <c r="S66" s="167">
        <v>17</v>
      </c>
      <c r="T66" s="167">
        <v>0</v>
      </c>
      <c r="U66" s="157">
        <v>1</v>
      </c>
      <c r="V66" s="187">
        <f t="shared" si="6"/>
        <v>109</v>
      </c>
      <c r="W66" s="187">
        <f t="shared" si="4"/>
        <v>0</v>
      </c>
      <c r="X66" s="187">
        <f t="shared" si="5"/>
        <v>6</v>
      </c>
      <c r="Y66" s="170">
        <v>1</v>
      </c>
      <c r="Z66" s="170">
        <v>11</v>
      </c>
    </row>
    <row r="67" spans="1:26" ht="21" x14ac:dyDescent="0.3">
      <c r="A67" s="8">
        <v>14</v>
      </c>
      <c r="B67" s="315" t="s">
        <v>690</v>
      </c>
      <c r="C67" s="203" t="s">
        <v>408</v>
      </c>
      <c r="D67" s="166">
        <v>30</v>
      </c>
      <c r="E67" s="166">
        <v>29</v>
      </c>
      <c r="F67" s="154">
        <v>2</v>
      </c>
      <c r="G67" s="167">
        <v>24</v>
      </c>
      <c r="H67" s="167">
        <v>33</v>
      </c>
      <c r="I67" s="156">
        <v>2</v>
      </c>
      <c r="J67" s="166">
        <v>36</v>
      </c>
      <c r="K67" s="166">
        <v>35</v>
      </c>
      <c r="L67" s="154">
        <v>2</v>
      </c>
      <c r="M67" s="156">
        <v>24</v>
      </c>
      <c r="N67" s="156">
        <v>26</v>
      </c>
      <c r="O67" s="156">
        <v>2</v>
      </c>
      <c r="P67" s="154">
        <v>29</v>
      </c>
      <c r="Q67" s="154">
        <v>25</v>
      </c>
      <c r="R67" s="154">
        <v>2</v>
      </c>
      <c r="S67" s="156">
        <v>14</v>
      </c>
      <c r="T67" s="156">
        <v>13</v>
      </c>
      <c r="U67" s="156">
        <v>1</v>
      </c>
      <c r="V67" s="187">
        <f t="shared" si="6"/>
        <v>157</v>
      </c>
      <c r="W67" s="187">
        <f t="shared" si="4"/>
        <v>161</v>
      </c>
      <c r="X67" s="187">
        <f t="shared" si="5"/>
        <v>11</v>
      </c>
      <c r="Y67" s="191">
        <v>0</v>
      </c>
      <c r="Z67" s="191">
        <v>16</v>
      </c>
    </row>
    <row r="68" spans="1:26" ht="21" x14ac:dyDescent="0.3">
      <c r="A68" s="8">
        <v>15</v>
      </c>
      <c r="B68" s="315" t="s">
        <v>690</v>
      </c>
      <c r="C68" s="203" t="s">
        <v>409</v>
      </c>
      <c r="D68" s="166">
        <v>15</v>
      </c>
      <c r="E68" s="166">
        <v>13</v>
      </c>
      <c r="F68" s="154">
        <v>1</v>
      </c>
      <c r="G68" s="156">
        <v>14</v>
      </c>
      <c r="H68" s="156">
        <v>6</v>
      </c>
      <c r="I68" s="156">
        <v>1</v>
      </c>
      <c r="J68" s="166">
        <v>12</v>
      </c>
      <c r="K68" s="166">
        <v>6</v>
      </c>
      <c r="L68" s="154">
        <v>1</v>
      </c>
      <c r="M68" s="167">
        <v>10</v>
      </c>
      <c r="N68" s="167">
        <v>13</v>
      </c>
      <c r="O68" s="156">
        <v>1</v>
      </c>
      <c r="P68" s="154">
        <v>9</v>
      </c>
      <c r="Q68" s="154">
        <v>8</v>
      </c>
      <c r="R68" s="154">
        <v>1</v>
      </c>
      <c r="S68" s="167">
        <v>21</v>
      </c>
      <c r="T68" s="167">
        <v>17</v>
      </c>
      <c r="U68" s="156">
        <v>1</v>
      </c>
      <c r="V68" s="187">
        <f t="shared" si="6"/>
        <v>81</v>
      </c>
      <c r="W68" s="187">
        <f t="shared" si="4"/>
        <v>63</v>
      </c>
      <c r="X68" s="187">
        <f t="shared" si="5"/>
        <v>6</v>
      </c>
      <c r="Y68" s="191">
        <v>3</v>
      </c>
      <c r="Z68" s="191">
        <v>11</v>
      </c>
    </row>
    <row r="69" spans="1:26" ht="21" x14ac:dyDescent="0.3">
      <c r="A69" s="8">
        <v>16</v>
      </c>
      <c r="B69" s="315" t="s">
        <v>690</v>
      </c>
      <c r="C69" s="203" t="s">
        <v>410</v>
      </c>
      <c r="D69" s="166">
        <v>26</v>
      </c>
      <c r="E69" s="166">
        <v>31</v>
      </c>
      <c r="F69" s="154">
        <v>2</v>
      </c>
      <c r="G69" s="167">
        <v>26</v>
      </c>
      <c r="H69" s="167">
        <v>34</v>
      </c>
      <c r="I69" s="156">
        <v>2</v>
      </c>
      <c r="J69" s="166">
        <v>34</v>
      </c>
      <c r="K69" s="166">
        <v>28</v>
      </c>
      <c r="L69" s="154">
        <v>2</v>
      </c>
      <c r="M69" s="167">
        <v>19</v>
      </c>
      <c r="N69" s="167">
        <v>12</v>
      </c>
      <c r="O69" s="156">
        <v>2</v>
      </c>
      <c r="P69" s="166">
        <v>34</v>
      </c>
      <c r="Q69" s="166">
        <v>28</v>
      </c>
      <c r="R69" s="154">
        <v>2</v>
      </c>
      <c r="S69" s="167">
        <v>24</v>
      </c>
      <c r="T69" s="167">
        <v>20</v>
      </c>
      <c r="U69" s="156">
        <v>2</v>
      </c>
      <c r="V69" s="187">
        <f t="shared" si="6"/>
        <v>163</v>
      </c>
      <c r="W69" s="187">
        <f t="shared" si="4"/>
        <v>153</v>
      </c>
      <c r="X69" s="187">
        <f t="shared" si="5"/>
        <v>12</v>
      </c>
      <c r="Y69" s="170">
        <v>2</v>
      </c>
      <c r="Z69" s="170">
        <v>12</v>
      </c>
    </row>
    <row r="70" spans="1:26" ht="21" x14ac:dyDescent="0.3">
      <c r="A70" s="8">
        <v>1</v>
      </c>
      <c r="B70" s="316" t="s">
        <v>411</v>
      </c>
      <c r="C70" s="215" t="s">
        <v>412</v>
      </c>
      <c r="D70" s="166">
        <v>84</v>
      </c>
      <c r="E70" s="166">
        <v>91</v>
      </c>
      <c r="F70" s="154">
        <v>5</v>
      </c>
      <c r="G70" s="167">
        <v>94</v>
      </c>
      <c r="H70" s="167">
        <v>83</v>
      </c>
      <c r="I70" s="156">
        <v>4</v>
      </c>
      <c r="J70" s="166">
        <v>81</v>
      </c>
      <c r="K70" s="166">
        <v>90</v>
      </c>
      <c r="L70" s="154">
        <v>4</v>
      </c>
      <c r="M70" s="167">
        <v>55</v>
      </c>
      <c r="N70" s="167">
        <v>68</v>
      </c>
      <c r="O70" s="156">
        <v>4</v>
      </c>
      <c r="P70" s="166">
        <v>67</v>
      </c>
      <c r="Q70" s="166">
        <v>71</v>
      </c>
      <c r="R70" s="154">
        <v>3</v>
      </c>
      <c r="S70" s="167">
        <v>49</v>
      </c>
      <c r="T70" s="167">
        <v>48</v>
      </c>
      <c r="U70" s="156">
        <v>3</v>
      </c>
      <c r="V70" s="159">
        <f t="shared" si="6"/>
        <v>430</v>
      </c>
      <c r="W70" s="159">
        <f t="shared" si="4"/>
        <v>451</v>
      </c>
      <c r="X70" s="159">
        <f t="shared" si="5"/>
        <v>23</v>
      </c>
      <c r="Y70" s="170">
        <v>6</v>
      </c>
      <c r="Z70" s="170">
        <v>34</v>
      </c>
    </row>
    <row r="71" spans="1:26" ht="21" x14ac:dyDescent="0.3">
      <c r="A71" s="8">
        <v>2</v>
      </c>
      <c r="B71" s="316" t="s">
        <v>411</v>
      </c>
      <c r="C71" s="215" t="s">
        <v>413</v>
      </c>
      <c r="D71" s="166">
        <v>59</v>
      </c>
      <c r="E71" s="166">
        <v>63</v>
      </c>
      <c r="F71" s="154">
        <v>3</v>
      </c>
      <c r="G71" s="167">
        <v>51</v>
      </c>
      <c r="H71" s="167">
        <v>71</v>
      </c>
      <c r="I71" s="156">
        <v>3</v>
      </c>
      <c r="J71" s="166">
        <v>32</v>
      </c>
      <c r="K71" s="166">
        <v>41</v>
      </c>
      <c r="L71" s="154">
        <v>2</v>
      </c>
      <c r="M71" s="167">
        <v>39</v>
      </c>
      <c r="N71" s="167">
        <v>68</v>
      </c>
      <c r="O71" s="156">
        <v>2</v>
      </c>
      <c r="P71" s="166">
        <v>50</v>
      </c>
      <c r="Q71" s="166">
        <v>43</v>
      </c>
      <c r="R71" s="154">
        <v>2</v>
      </c>
      <c r="S71" s="167">
        <v>25</v>
      </c>
      <c r="T71" s="167">
        <v>27</v>
      </c>
      <c r="U71" s="156">
        <v>2</v>
      </c>
      <c r="V71" s="159">
        <f t="shared" si="6"/>
        <v>256</v>
      </c>
      <c r="W71" s="159">
        <f t="shared" si="4"/>
        <v>313</v>
      </c>
      <c r="X71" s="159">
        <f t="shared" si="5"/>
        <v>14</v>
      </c>
      <c r="Y71" s="170">
        <v>4</v>
      </c>
      <c r="Z71" s="170">
        <v>24</v>
      </c>
    </row>
    <row r="72" spans="1:26" ht="21" x14ac:dyDescent="0.3">
      <c r="A72" s="8">
        <v>3</v>
      </c>
      <c r="B72" s="316" t="s">
        <v>411</v>
      </c>
      <c r="C72" s="215" t="s">
        <v>414</v>
      </c>
      <c r="D72" s="166">
        <v>30</v>
      </c>
      <c r="E72" s="166">
        <v>28</v>
      </c>
      <c r="F72" s="154">
        <v>2</v>
      </c>
      <c r="G72" s="156">
        <v>24</v>
      </c>
      <c r="H72" s="156">
        <v>24</v>
      </c>
      <c r="I72" s="156">
        <v>2</v>
      </c>
      <c r="J72" s="154">
        <v>22</v>
      </c>
      <c r="K72" s="154">
        <v>14</v>
      </c>
      <c r="L72" s="154">
        <v>1</v>
      </c>
      <c r="M72" s="156">
        <v>9</v>
      </c>
      <c r="N72" s="156">
        <v>15</v>
      </c>
      <c r="O72" s="156">
        <v>1</v>
      </c>
      <c r="P72" s="154">
        <v>19</v>
      </c>
      <c r="Q72" s="154">
        <v>23</v>
      </c>
      <c r="R72" s="154">
        <v>1</v>
      </c>
      <c r="S72" s="167">
        <v>22</v>
      </c>
      <c r="T72" s="167">
        <v>30</v>
      </c>
      <c r="U72" s="156">
        <v>2</v>
      </c>
      <c r="V72" s="159">
        <f t="shared" si="6"/>
        <v>126</v>
      </c>
      <c r="W72" s="159">
        <f t="shared" si="4"/>
        <v>134</v>
      </c>
      <c r="X72" s="159">
        <f t="shared" si="5"/>
        <v>9</v>
      </c>
      <c r="Y72" s="191">
        <v>4</v>
      </c>
      <c r="Z72" s="191">
        <v>9</v>
      </c>
    </row>
    <row r="73" spans="1:26" ht="21" x14ac:dyDescent="0.3">
      <c r="A73" s="8">
        <v>4</v>
      </c>
      <c r="B73" s="316" t="s">
        <v>411</v>
      </c>
      <c r="C73" s="215" t="s">
        <v>415</v>
      </c>
      <c r="D73" s="216">
        <v>34</v>
      </c>
      <c r="E73" s="166">
        <v>28</v>
      </c>
      <c r="F73" s="154">
        <v>2</v>
      </c>
      <c r="G73" s="167">
        <v>36</v>
      </c>
      <c r="H73" s="167">
        <v>23</v>
      </c>
      <c r="I73" s="156">
        <v>2</v>
      </c>
      <c r="J73" s="166">
        <v>36</v>
      </c>
      <c r="K73" s="166">
        <v>30</v>
      </c>
      <c r="L73" s="154">
        <v>2</v>
      </c>
      <c r="M73" s="167">
        <v>24</v>
      </c>
      <c r="N73" s="167">
        <v>29</v>
      </c>
      <c r="O73" s="156">
        <v>2</v>
      </c>
      <c r="P73" s="166">
        <v>32</v>
      </c>
      <c r="Q73" s="166">
        <v>34</v>
      </c>
      <c r="R73" s="154">
        <v>2</v>
      </c>
      <c r="S73" s="167">
        <v>40</v>
      </c>
      <c r="T73" s="167">
        <v>36</v>
      </c>
      <c r="U73" s="156">
        <v>2</v>
      </c>
      <c r="V73" s="159">
        <f t="shared" si="6"/>
        <v>202</v>
      </c>
      <c r="W73" s="159">
        <f t="shared" si="4"/>
        <v>180</v>
      </c>
      <c r="X73" s="159">
        <f t="shared" si="5"/>
        <v>12</v>
      </c>
      <c r="Y73" s="170">
        <v>4</v>
      </c>
      <c r="Z73" s="170">
        <v>19</v>
      </c>
    </row>
    <row r="74" spans="1:26" ht="21" x14ac:dyDescent="0.3">
      <c r="A74" s="8">
        <v>5</v>
      </c>
      <c r="B74" s="316" t="s">
        <v>411</v>
      </c>
      <c r="C74" s="215" t="s">
        <v>416</v>
      </c>
      <c r="D74" s="166">
        <v>31</v>
      </c>
      <c r="E74" s="166">
        <v>37</v>
      </c>
      <c r="F74" s="154">
        <v>2</v>
      </c>
      <c r="G74" s="167">
        <v>19</v>
      </c>
      <c r="H74" s="167">
        <v>35</v>
      </c>
      <c r="I74" s="156">
        <v>2</v>
      </c>
      <c r="J74" s="166">
        <v>19</v>
      </c>
      <c r="K74" s="166">
        <v>35</v>
      </c>
      <c r="L74" s="154">
        <v>2</v>
      </c>
      <c r="M74" s="156">
        <v>6</v>
      </c>
      <c r="N74" s="156">
        <v>14</v>
      </c>
      <c r="O74" s="156">
        <v>1</v>
      </c>
      <c r="P74" s="166">
        <v>10</v>
      </c>
      <c r="Q74" s="166">
        <v>29</v>
      </c>
      <c r="R74" s="154">
        <v>2</v>
      </c>
      <c r="S74" s="167">
        <v>15</v>
      </c>
      <c r="T74" s="167">
        <v>25</v>
      </c>
      <c r="U74" s="156">
        <v>2</v>
      </c>
      <c r="V74" s="159">
        <f t="shared" si="6"/>
        <v>100</v>
      </c>
      <c r="W74" s="159">
        <f t="shared" si="4"/>
        <v>175</v>
      </c>
      <c r="X74" s="159">
        <f t="shared" si="5"/>
        <v>11</v>
      </c>
      <c r="Y74" s="170">
        <v>1</v>
      </c>
      <c r="Z74" s="170">
        <v>12</v>
      </c>
    </row>
    <row r="75" spans="1:26" ht="21" x14ac:dyDescent="0.3">
      <c r="A75" s="8">
        <v>6</v>
      </c>
      <c r="B75" s="316" t="s">
        <v>411</v>
      </c>
      <c r="C75" s="215" t="s">
        <v>417</v>
      </c>
      <c r="D75" s="162">
        <v>31</v>
      </c>
      <c r="E75" s="162">
        <v>23</v>
      </c>
      <c r="F75" s="186">
        <v>2</v>
      </c>
      <c r="G75" s="161">
        <v>27</v>
      </c>
      <c r="H75" s="161">
        <v>28</v>
      </c>
      <c r="I75" s="158">
        <v>2</v>
      </c>
      <c r="J75" s="162">
        <v>42</v>
      </c>
      <c r="K75" s="162">
        <v>80</v>
      </c>
      <c r="L75" s="186">
        <v>2</v>
      </c>
      <c r="M75" s="161">
        <v>17</v>
      </c>
      <c r="N75" s="161">
        <v>22</v>
      </c>
      <c r="O75" s="158">
        <v>2</v>
      </c>
      <c r="P75" s="162">
        <v>19</v>
      </c>
      <c r="Q75" s="162">
        <v>24</v>
      </c>
      <c r="R75" s="186">
        <v>2</v>
      </c>
      <c r="S75" s="161">
        <v>42</v>
      </c>
      <c r="T75" s="161">
        <v>50</v>
      </c>
      <c r="U75" s="158">
        <v>2</v>
      </c>
      <c r="V75" s="159">
        <f t="shared" si="6"/>
        <v>178</v>
      </c>
      <c r="W75" s="159">
        <f t="shared" si="4"/>
        <v>227</v>
      </c>
      <c r="X75" s="159">
        <f t="shared" si="5"/>
        <v>12</v>
      </c>
      <c r="Y75" s="160"/>
      <c r="Z75" s="160"/>
    </row>
    <row r="76" spans="1:26" ht="21" x14ac:dyDescent="0.3">
      <c r="A76" s="8">
        <v>7</v>
      </c>
      <c r="B76" s="316" t="s">
        <v>411</v>
      </c>
      <c r="C76" s="215" t="s">
        <v>418</v>
      </c>
      <c r="D76" s="166">
        <v>17</v>
      </c>
      <c r="E76" s="166">
        <v>26</v>
      </c>
      <c r="F76" s="154">
        <v>2</v>
      </c>
      <c r="G76" s="167">
        <v>16</v>
      </c>
      <c r="H76" s="167">
        <v>5</v>
      </c>
      <c r="I76" s="156">
        <v>1</v>
      </c>
      <c r="J76" s="166">
        <v>20</v>
      </c>
      <c r="K76" s="166">
        <v>19</v>
      </c>
      <c r="L76" s="154">
        <v>1</v>
      </c>
      <c r="M76" s="167">
        <v>15</v>
      </c>
      <c r="N76" s="167">
        <v>14</v>
      </c>
      <c r="O76" s="156">
        <v>1</v>
      </c>
      <c r="P76" s="166">
        <v>10</v>
      </c>
      <c r="Q76" s="166">
        <v>15</v>
      </c>
      <c r="R76" s="154">
        <v>1</v>
      </c>
      <c r="S76" s="167">
        <v>13</v>
      </c>
      <c r="T76" s="167">
        <v>16</v>
      </c>
      <c r="U76" s="156">
        <v>1</v>
      </c>
      <c r="V76" s="159">
        <f t="shared" si="6"/>
        <v>91</v>
      </c>
      <c r="W76" s="159">
        <f t="shared" si="4"/>
        <v>95</v>
      </c>
      <c r="X76" s="159">
        <f t="shared" si="5"/>
        <v>7</v>
      </c>
      <c r="Y76" s="170">
        <v>2</v>
      </c>
      <c r="Z76" s="170">
        <v>18</v>
      </c>
    </row>
    <row r="77" spans="1:26" ht="21" x14ac:dyDescent="0.3">
      <c r="A77" s="8">
        <v>8</v>
      </c>
      <c r="B77" s="316" t="s">
        <v>411</v>
      </c>
      <c r="C77" s="215" t="s">
        <v>419</v>
      </c>
      <c r="D77" s="166">
        <v>16</v>
      </c>
      <c r="E77" s="166">
        <v>16</v>
      </c>
      <c r="F77" s="154">
        <v>1</v>
      </c>
      <c r="G77" s="167">
        <v>26</v>
      </c>
      <c r="H77" s="167">
        <v>12</v>
      </c>
      <c r="I77" s="156">
        <v>1</v>
      </c>
      <c r="J77" s="166">
        <v>15</v>
      </c>
      <c r="K77" s="166">
        <v>13</v>
      </c>
      <c r="L77" s="154">
        <v>1</v>
      </c>
      <c r="M77" s="167">
        <v>13</v>
      </c>
      <c r="N77" s="167">
        <v>13</v>
      </c>
      <c r="O77" s="156">
        <v>1</v>
      </c>
      <c r="P77" s="166">
        <v>8</v>
      </c>
      <c r="Q77" s="166">
        <v>17</v>
      </c>
      <c r="R77" s="154">
        <v>1</v>
      </c>
      <c r="S77" s="167">
        <v>11</v>
      </c>
      <c r="T77" s="167">
        <v>7</v>
      </c>
      <c r="U77" s="156">
        <v>1</v>
      </c>
      <c r="V77" s="159">
        <f t="shared" si="6"/>
        <v>89</v>
      </c>
      <c r="W77" s="159">
        <f t="shared" si="4"/>
        <v>78</v>
      </c>
      <c r="X77" s="159">
        <f t="shared" si="5"/>
        <v>6</v>
      </c>
      <c r="Y77" s="170">
        <v>2</v>
      </c>
      <c r="Z77" s="170">
        <v>5</v>
      </c>
    </row>
    <row r="78" spans="1:26" ht="21" x14ac:dyDescent="0.3">
      <c r="A78" s="8">
        <v>9</v>
      </c>
      <c r="B78" s="316" t="s">
        <v>411</v>
      </c>
      <c r="C78" s="215" t="s">
        <v>420</v>
      </c>
      <c r="D78" s="217">
        <v>10</v>
      </c>
      <c r="E78" s="217">
        <v>12</v>
      </c>
      <c r="F78" s="154">
        <v>1</v>
      </c>
      <c r="G78" s="218">
        <v>8</v>
      </c>
      <c r="H78" s="218">
        <v>12</v>
      </c>
      <c r="I78" s="156">
        <v>1</v>
      </c>
      <c r="J78" s="217">
        <v>9</v>
      </c>
      <c r="K78" s="217">
        <v>5</v>
      </c>
      <c r="L78" s="154">
        <v>1</v>
      </c>
      <c r="M78" s="218">
        <v>7</v>
      </c>
      <c r="N78" s="218">
        <v>5</v>
      </c>
      <c r="O78" s="156">
        <v>1</v>
      </c>
      <c r="P78" s="217">
        <v>9</v>
      </c>
      <c r="Q78" s="217">
        <v>6</v>
      </c>
      <c r="R78" s="154">
        <v>1</v>
      </c>
      <c r="S78" s="218">
        <v>3</v>
      </c>
      <c r="T78" s="218">
        <v>2</v>
      </c>
      <c r="U78" s="156">
        <v>1</v>
      </c>
      <c r="V78" s="159">
        <f t="shared" si="6"/>
        <v>46</v>
      </c>
      <c r="W78" s="159">
        <f t="shared" si="4"/>
        <v>42</v>
      </c>
      <c r="X78" s="159">
        <f t="shared" si="5"/>
        <v>6</v>
      </c>
      <c r="Y78" s="219">
        <v>5</v>
      </c>
      <c r="Z78" s="219">
        <v>1</v>
      </c>
    </row>
    <row r="79" spans="1:26" ht="21" x14ac:dyDescent="0.3">
      <c r="A79" s="9">
        <v>10</v>
      </c>
      <c r="B79" s="316" t="s">
        <v>411</v>
      </c>
      <c r="C79" s="215" t="s">
        <v>421</v>
      </c>
      <c r="D79" s="166">
        <v>18</v>
      </c>
      <c r="E79" s="166">
        <v>20</v>
      </c>
      <c r="F79" s="154">
        <v>1</v>
      </c>
      <c r="G79" s="167">
        <v>17</v>
      </c>
      <c r="H79" s="167">
        <v>15</v>
      </c>
      <c r="I79" s="156">
        <v>1</v>
      </c>
      <c r="J79" s="166">
        <v>13</v>
      </c>
      <c r="K79" s="166">
        <v>11</v>
      </c>
      <c r="L79" s="154">
        <v>1</v>
      </c>
      <c r="M79" s="167">
        <v>7</v>
      </c>
      <c r="N79" s="167">
        <v>9</v>
      </c>
      <c r="O79" s="156">
        <v>1</v>
      </c>
      <c r="P79" s="166">
        <v>5</v>
      </c>
      <c r="Q79" s="166">
        <v>7</v>
      </c>
      <c r="R79" s="154">
        <v>1</v>
      </c>
      <c r="S79" s="185">
        <v>17</v>
      </c>
      <c r="T79" s="185">
        <v>13</v>
      </c>
      <c r="U79" s="156">
        <v>1</v>
      </c>
      <c r="V79" s="159">
        <f t="shared" si="6"/>
        <v>77</v>
      </c>
      <c r="W79" s="159">
        <f t="shared" si="4"/>
        <v>75</v>
      </c>
      <c r="X79" s="159">
        <f t="shared" si="5"/>
        <v>6</v>
      </c>
      <c r="Y79" s="170">
        <v>4</v>
      </c>
      <c r="Z79" s="170">
        <v>9</v>
      </c>
    </row>
    <row r="80" spans="1:26" ht="21" x14ac:dyDescent="0.3">
      <c r="A80" s="8">
        <v>1</v>
      </c>
      <c r="B80" s="316" t="s">
        <v>691</v>
      </c>
      <c r="C80" s="215" t="s">
        <v>423</v>
      </c>
      <c r="D80" s="166">
        <v>0</v>
      </c>
      <c r="E80" s="166">
        <v>195</v>
      </c>
      <c r="F80" s="154">
        <v>5</v>
      </c>
      <c r="G80" s="167">
        <v>0</v>
      </c>
      <c r="H80" s="167">
        <v>261</v>
      </c>
      <c r="I80" s="156">
        <v>6</v>
      </c>
      <c r="J80" s="166">
        <v>0</v>
      </c>
      <c r="K80" s="166">
        <v>261</v>
      </c>
      <c r="L80" s="154">
        <v>6</v>
      </c>
      <c r="M80" s="167">
        <v>0</v>
      </c>
      <c r="N80" s="167">
        <v>204</v>
      </c>
      <c r="O80" s="156">
        <v>6</v>
      </c>
      <c r="P80" s="166">
        <v>0</v>
      </c>
      <c r="Q80" s="166">
        <v>232</v>
      </c>
      <c r="R80" s="154">
        <v>6</v>
      </c>
      <c r="S80" s="167">
        <v>0</v>
      </c>
      <c r="T80" s="167">
        <v>186</v>
      </c>
      <c r="U80" s="156">
        <v>6</v>
      </c>
      <c r="V80" s="159">
        <f t="shared" si="6"/>
        <v>0</v>
      </c>
      <c r="W80" s="150">
        <f t="shared" si="4"/>
        <v>1339</v>
      </c>
      <c r="X80" s="159">
        <f t="shared" si="5"/>
        <v>35</v>
      </c>
      <c r="Y80" s="170">
        <v>6</v>
      </c>
      <c r="Z80" s="170">
        <v>52</v>
      </c>
    </row>
    <row r="81" spans="1:26" ht="21" x14ac:dyDescent="0.3">
      <c r="A81" s="8">
        <v>2</v>
      </c>
      <c r="B81" s="316" t="s">
        <v>691</v>
      </c>
      <c r="C81" s="215" t="s">
        <v>424</v>
      </c>
      <c r="D81" s="166">
        <v>296</v>
      </c>
      <c r="E81" s="166">
        <v>0</v>
      </c>
      <c r="F81" s="154">
        <v>6</v>
      </c>
      <c r="G81" s="167">
        <v>205</v>
      </c>
      <c r="H81" s="167">
        <v>0</v>
      </c>
      <c r="I81" s="156">
        <v>6</v>
      </c>
      <c r="J81" s="166">
        <v>206</v>
      </c>
      <c r="K81" s="166">
        <v>0</v>
      </c>
      <c r="L81" s="154">
        <v>6</v>
      </c>
      <c r="M81" s="167">
        <v>236</v>
      </c>
      <c r="N81" s="167">
        <v>0</v>
      </c>
      <c r="O81" s="156">
        <v>5</v>
      </c>
      <c r="P81" s="166">
        <v>161</v>
      </c>
      <c r="Q81" s="166">
        <v>0</v>
      </c>
      <c r="R81" s="154">
        <v>4</v>
      </c>
      <c r="S81" s="167">
        <v>132</v>
      </c>
      <c r="T81" s="167">
        <v>0</v>
      </c>
      <c r="U81" s="156">
        <v>4</v>
      </c>
      <c r="V81" s="159">
        <f t="shared" si="6"/>
        <v>1236</v>
      </c>
      <c r="W81" s="150">
        <f t="shared" si="4"/>
        <v>0</v>
      </c>
      <c r="X81" s="159">
        <f t="shared" si="5"/>
        <v>31</v>
      </c>
      <c r="Y81" s="170">
        <v>7</v>
      </c>
      <c r="Z81" s="170">
        <v>43</v>
      </c>
    </row>
    <row r="82" spans="1:26" ht="21" x14ac:dyDescent="0.3">
      <c r="A82" s="8">
        <v>3</v>
      </c>
      <c r="B82" s="316" t="s">
        <v>691</v>
      </c>
      <c r="C82" s="215" t="s">
        <v>425</v>
      </c>
      <c r="D82" s="162">
        <v>0</v>
      </c>
      <c r="E82" s="166">
        <v>210</v>
      </c>
      <c r="F82" s="180">
        <v>6</v>
      </c>
      <c r="G82" s="220"/>
      <c r="H82" s="167">
        <v>181</v>
      </c>
      <c r="I82" s="182">
        <v>5</v>
      </c>
      <c r="J82" s="162"/>
      <c r="K82" s="166">
        <v>211</v>
      </c>
      <c r="L82" s="180">
        <v>6</v>
      </c>
      <c r="M82" s="220">
        <v>0</v>
      </c>
      <c r="N82" s="167">
        <v>224</v>
      </c>
      <c r="O82" s="182">
        <v>6</v>
      </c>
      <c r="P82" s="162"/>
      <c r="Q82" s="166">
        <v>195</v>
      </c>
      <c r="R82" s="180">
        <v>6</v>
      </c>
      <c r="S82" s="220">
        <v>0</v>
      </c>
      <c r="T82" s="167">
        <v>184</v>
      </c>
      <c r="U82" s="182">
        <v>6</v>
      </c>
      <c r="V82" s="159">
        <f t="shared" si="6"/>
        <v>0</v>
      </c>
      <c r="W82" s="150">
        <f t="shared" si="4"/>
        <v>1205</v>
      </c>
      <c r="X82" s="159">
        <f t="shared" si="5"/>
        <v>35</v>
      </c>
      <c r="Y82" s="170">
        <v>2</v>
      </c>
      <c r="Z82" s="170">
        <v>49</v>
      </c>
    </row>
    <row r="83" spans="1:26" ht="21" x14ac:dyDescent="0.3">
      <c r="A83" s="8">
        <v>4</v>
      </c>
      <c r="B83" s="316" t="s">
        <v>691</v>
      </c>
      <c r="C83" s="215" t="s">
        <v>426</v>
      </c>
      <c r="D83" s="221">
        <v>140</v>
      </c>
      <c r="E83" s="221">
        <v>177</v>
      </c>
      <c r="F83" s="186">
        <v>7</v>
      </c>
      <c r="G83" s="222">
        <v>150</v>
      </c>
      <c r="H83" s="222">
        <v>157</v>
      </c>
      <c r="I83" s="158">
        <v>7</v>
      </c>
      <c r="J83" s="186">
        <v>155</v>
      </c>
      <c r="K83" s="186">
        <v>159</v>
      </c>
      <c r="L83" s="186">
        <v>7</v>
      </c>
      <c r="M83" s="158">
        <v>159</v>
      </c>
      <c r="N83" s="158">
        <v>149</v>
      </c>
      <c r="O83" s="158">
        <v>7</v>
      </c>
      <c r="P83" s="186">
        <v>105</v>
      </c>
      <c r="Q83" s="186">
        <v>138</v>
      </c>
      <c r="R83" s="186">
        <v>5</v>
      </c>
      <c r="S83" s="158">
        <v>77</v>
      </c>
      <c r="T83" s="158">
        <v>110</v>
      </c>
      <c r="U83" s="158">
        <v>5</v>
      </c>
      <c r="V83" s="159">
        <f t="shared" si="6"/>
        <v>786</v>
      </c>
      <c r="W83" s="150">
        <f t="shared" si="4"/>
        <v>890</v>
      </c>
      <c r="X83" s="159">
        <f t="shared" si="5"/>
        <v>38</v>
      </c>
      <c r="Y83" s="160">
        <v>5</v>
      </c>
      <c r="Z83" s="160">
        <v>42</v>
      </c>
    </row>
    <row r="84" spans="1:26" ht="21" x14ac:dyDescent="0.3">
      <c r="A84" s="8">
        <v>5</v>
      </c>
      <c r="B84" s="316" t="s">
        <v>691</v>
      </c>
      <c r="C84" s="215" t="s">
        <v>427</v>
      </c>
      <c r="D84" s="153">
        <v>150</v>
      </c>
      <c r="E84" s="186">
        <v>200</v>
      </c>
      <c r="F84" s="186">
        <v>7</v>
      </c>
      <c r="G84" s="167">
        <v>150</v>
      </c>
      <c r="H84" s="158">
        <v>174</v>
      </c>
      <c r="I84" s="158">
        <v>7</v>
      </c>
      <c r="J84" s="186">
        <v>90</v>
      </c>
      <c r="K84" s="186">
        <v>156</v>
      </c>
      <c r="L84" s="186">
        <v>7</v>
      </c>
      <c r="M84" s="158">
        <v>150</v>
      </c>
      <c r="N84" s="158">
        <v>200</v>
      </c>
      <c r="O84" s="158">
        <v>7</v>
      </c>
      <c r="P84" s="166">
        <v>60</v>
      </c>
      <c r="Q84" s="166">
        <v>147</v>
      </c>
      <c r="R84" s="186">
        <v>7</v>
      </c>
      <c r="S84" s="167">
        <v>50</v>
      </c>
      <c r="T84" s="167">
        <v>101</v>
      </c>
      <c r="U84" s="158">
        <v>4</v>
      </c>
      <c r="V84" s="159">
        <f t="shared" si="6"/>
        <v>650</v>
      </c>
      <c r="W84" s="150">
        <f t="shared" si="4"/>
        <v>978</v>
      </c>
      <c r="X84" s="159">
        <f t="shared" si="5"/>
        <v>39</v>
      </c>
      <c r="Y84" s="170">
        <v>3</v>
      </c>
      <c r="Z84" s="170">
        <v>41</v>
      </c>
    </row>
    <row r="85" spans="1:26" ht="21" x14ac:dyDescent="0.3">
      <c r="A85" s="8">
        <v>6</v>
      </c>
      <c r="B85" s="316" t="s">
        <v>691</v>
      </c>
      <c r="C85" s="215" t="s">
        <v>428</v>
      </c>
      <c r="D85" s="198">
        <v>90</v>
      </c>
      <c r="E85" s="198">
        <v>155</v>
      </c>
      <c r="F85" s="154">
        <v>6</v>
      </c>
      <c r="G85" s="200">
        <v>75</v>
      </c>
      <c r="H85" s="200">
        <v>145</v>
      </c>
      <c r="I85" s="156">
        <v>5</v>
      </c>
      <c r="J85" s="198">
        <v>96</v>
      </c>
      <c r="K85" s="198">
        <v>148</v>
      </c>
      <c r="L85" s="154">
        <v>6</v>
      </c>
      <c r="M85" s="200">
        <v>91</v>
      </c>
      <c r="N85" s="200">
        <v>140</v>
      </c>
      <c r="O85" s="156">
        <v>5</v>
      </c>
      <c r="P85" s="198">
        <v>67</v>
      </c>
      <c r="Q85" s="198">
        <v>135</v>
      </c>
      <c r="R85" s="154">
        <v>5</v>
      </c>
      <c r="S85" s="200">
        <v>60</v>
      </c>
      <c r="T85" s="200">
        <v>124</v>
      </c>
      <c r="U85" s="156">
        <v>5</v>
      </c>
      <c r="V85" s="159">
        <f t="shared" si="6"/>
        <v>479</v>
      </c>
      <c r="W85" s="150">
        <f t="shared" si="4"/>
        <v>847</v>
      </c>
      <c r="X85" s="159">
        <f t="shared" si="5"/>
        <v>32</v>
      </c>
      <c r="Y85" s="201">
        <v>2</v>
      </c>
      <c r="Z85" s="201">
        <v>38</v>
      </c>
    </row>
    <row r="86" spans="1:26" ht="21" x14ac:dyDescent="0.3">
      <c r="A86" s="8">
        <v>7</v>
      </c>
      <c r="B86" s="316" t="s">
        <v>691</v>
      </c>
      <c r="C86" s="215" t="s">
        <v>429</v>
      </c>
      <c r="D86" s="166">
        <v>51</v>
      </c>
      <c r="E86" s="166">
        <v>89</v>
      </c>
      <c r="F86" s="186">
        <v>4</v>
      </c>
      <c r="G86" s="167">
        <v>31</v>
      </c>
      <c r="H86" s="167">
        <v>105</v>
      </c>
      <c r="I86" s="158">
        <v>4</v>
      </c>
      <c r="J86" s="166">
        <v>61</v>
      </c>
      <c r="K86" s="166">
        <v>80</v>
      </c>
      <c r="L86" s="186">
        <v>4</v>
      </c>
      <c r="M86" s="167">
        <v>25</v>
      </c>
      <c r="N86" s="167">
        <v>88</v>
      </c>
      <c r="O86" s="158">
        <v>3</v>
      </c>
      <c r="P86" s="166">
        <v>36</v>
      </c>
      <c r="Q86" s="166">
        <v>75</v>
      </c>
      <c r="R86" s="186">
        <v>3</v>
      </c>
      <c r="S86" s="167">
        <v>39</v>
      </c>
      <c r="T86" s="167">
        <v>73</v>
      </c>
      <c r="U86" s="158">
        <v>3</v>
      </c>
      <c r="V86" s="159">
        <f t="shared" si="6"/>
        <v>243</v>
      </c>
      <c r="W86" s="150">
        <f t="shared" si="4"/>
        <v>510</v>
      </c>
      <c r="X86" s="159">
        <f t="shared" si="5"/>
        <v>21</v>
      </c>
      <c r="Y86" s="165">
        <v>3</v>
      </c>
      <c r="Z86" s="165">
        <v>18</v>
      </c>
    </row>
    <row r="87" spans="1:26" ht="21" x14ac:dyDescent="0.3">
      <c r="A87" s="8">
        <v>8</v>
      </c>
      <c r="B87" s="316" t="s">
        <v>691</v>
      </c>
      <c r="C87" s="215" t="s">
        <v>430</v>
      </c>
      <c r="D87" s="166">
        <v>143</v>
      </c>
      <c r="E87" s="166">
        <v>173</v>
      </c>
      <c r="F87" s="154">
        <v>7</v>
      </c>
      <c r="G87" s="167">
        <v>104</v>
      </c>
      <c r="H87" s="167">
        <v>158</v>
      </c>
      <c r="I87" s="156">
        <v>6</v>
      </c>
      <c r="J87" s="166">
        <v>110</v>
      </c>
      <c r="K87" s="166">
        <v>149</v>
      </c>
      <c r="L87" s="154">
        <v>5</v>
      </c>
      <c r="M87" s="167">
        <v>106</v>
      </c>
      <c r="N87" s="167">
        <v>140</v>
      </c>
      <c r="O87" s="156">
        <v>5</v>
      </c>
      <c r="P87" s="166">
        <v>86</v>
      </c>
      <c r="Q87" s="166">
        <v>127</v>
      </c>
      <c r="R87" s="154">
        <v>5</v>
      </c>
      <c r="S87" s="167">
        <v>61</v>
      </c>
      <c r="T87" s="167">
        <v>83</v>
      </c>
      <c r="U87" s="156">
        <v>5</v>
      </c>
      <c r="V87" s="159">
        <f t="shared" si="6"/>
        <v>610</v>
      </c>
      <c r="W87" s="150">
        <f t="shared" ref="W87:W150" si="7">E87+H87+K87+N87+Q87+T87</f>
        <v>830</v>
      </c>
      <c r="X87" s="159">
        <f t="shared" ref="X87:X150" si="8">F87+I87+L87+O87+R87+U87</f>
        <v>33</v>
      </c>
      <c r="Y87" s="170">
        <v>2</v>
      </c>
      <c r="Z87" s="170">
        <v>57</v>
      </c>
    </row>
    <row r="88" spans="1:26" ht="21" x14ac:dyDescent="0.3">
      <c r="A88" s="8">
        <v>9</v>
      </c>
      <c r="B88" s="316" t="s">
        <v>691</v>
      </c>
      <c r="C88" s="215" t="s">
        <v>431</v>
      </c>
      <c r="D88" s="223">
        <v>73</v>
      </c>
      <c r="E88" s="223">
        <v>55</v>
      </c>
      <c r="F88" s="155">
        <v>3</v>
      </c>
      <c r="G88" s="224">
        <v>48</v>
      </c>
      <c r="H88" s="224">
        <v>44</v>
      </c>
      <c r="I88" s="157">
        <v>2</v>
      </c>
      <c r="J88" s="223">
        <v>42</v>
      </c>
      <c r="K88" s="223">
        <v>46</v>
      </c>
      <c r="L88" s="155">
        <v>2</v>
      </c>
      <c r="M88" s="224">
        <v>40</v>
      </c>
      <c r="N88" s="224">
        <v>42</v>
      </c>
      <c r="O88" s="157">
        <v>2</v>
      </c>
      <c r="P88" s="223">
        <v>40</v>
      </c>
      <c r="Q88" s="223">
        <v>38</v>
      </c>
      <c r="R88" s="155">
        <v>2</v>
      </c>
      <c r="S88" s="224">
        <v>25</v>
      </c>
      <c r="T88" s="224">
        <v>15</v>
      </c>
      <c r="U88" s="157">
        <v>2</v>
      </c>
      <c r="V88" s="159">
        <f t="shared" si="6"/>
        <v>268</v>
      </c>
      <c r="W88" s="150">
        <f t="shared" si="7"/>
        <v>240</v>
      </c>
      <c r="X88" s="159">
        <f t="shared" si="8"/>
        <v>13</v>
      </c>
      <c r="Y88" s="225">
        <v>1</v>
      </c>
      <c r="Z88" s="225">
        <v>17</v>
      </c>
    </row>
    <row r="89" spans="1:26" ht="21" x14ac:dyDescent="0.3">
      <c r="A89" s="8">
        <v>10</v>
      </c>
      <c r="B89" s="316" t="s">
        <v>691</v>
      </c>
      <c r="C89" s="215" t="s">
        <v>432</v>
      </c>
      <c r="D89" s="169">
        <v>12</v>
      </c>
      <c r="E89" s="154">
        <v>58</v>
      </c>
      <c r="F89" s="154">
        <v>2</v>
      </c>
      <c r="G89" s="156">
        <v>15</v>
      </c>
      <c r="H89" s="156">
        <v>55</v>
      </c>
      <c r="I89" s="156">
        <v>2</v>
      </c>
      <c r="J89" s="166">
        <v>20</v>
      </c>
      <c r="K89" s="166">
        <v>40</v>
      </c>
      <c r="L89" s="154">
        <v>2</v>
      </c>
      <c r="M89" s="167">
        <v>18</v>
      </c>
      <c r="N89" s="167">
        <v>32</v>
      </c>
      <c r="O89" s="156">
        <v>2</v>
      </c>
      <c r="P89" s="154">
        <v>10</v>
      </c>
      <c r="Q89" s="154">
        <v>30</v>
      </c>
      <c r="R89" s="154">
        <v>2</v>
      </c>
      <c r="S89" s="167">
        <v>7</v>
      </c>
      <c r="T89" s="167">
        <v>23</v>
      </c>
      <c r="U89" s="156">
        <v>2</v>
      </c>
      <c r="V89" s="159">
        <f t="shared" si="6"/>
        <v>82</v>
      </c>
      <c r="W89" s="150">
        <f t="shared" si="7"/>
        <v>238</v>
      </c>
      <c r="X89" s="159">
        <f t="shared" si="8"/>
        <v>12</v>
      </c>
      <c r="Y89" s="191">
        <v>4</v>
      </c>
      <c r="Z89" s="191">
        <v>19</v>
      </c>
    </row>
    <row r="90" spans="1:26" ht="21" x14ac:dyDescent="0.3">
      <c r="A90" s="8">
        <v>11</v>
      </c>
      <c r="B90" s="316" t="s">
        <v>691</v>
      </c>
      <c r="C90" s="215" t="s">
        <v>433</v>
      </c>
      <c r="D90" s="166">
        <v>55</v>
      </c>
      <c r="E90" s="166">
        <v>50</v>
      </c>
      <c r="F90" s="186">
        <v>3</v>
      </c>
      <c r="G90" s="167">
        <v>52</v>
      </c>
      <c r="H90" s="167">
        <v>50</v>
      </c>
      <c r="I90" s="158">
        <v>3</v>
      </c>
      <c r="J90" s="166">
        <v>60</v>
      </c>
      <c r="K90" s="166">
        <v>67</v>
      </c>
      <c r="L90" s="186">
        <v>3</v>
      </c>
      <c r="M90" s="167">
        <v>46</v>
      </c>
      <c r="N90" s="167">
        <v>40</v>
      </c>
      <c r="O90" s="158">
        <v>2</v>
      </c>
      <c r="P90" s="166">
        <v>47</v>
      </c>
      <c r="Q90" s="166">
        <v>53</v>
      </c>
      <c r="R90" s="186">
        <v>3</v>
      </c>
      <c r="S90" s="167">
        <v>40</v>
      </c>
      <c r="T90" s="167">
        <v>39</v>
      </c>
      <c r="U90" s="158">
        <v>2</v>
      </c>
      <c r="V90" s="159">
        <f t="shared" si="6"/>
        <v>300</v>
      </c>
      <c r="W90" s="150">
        <f t="shared" si="7"/>
        <v>299</v>
      </c>
      <c r="X90" s="159">
        <f t="shared" si="8"/>
        <v>16</v>
      </c>
      <c r="Y90" s="160">
        <v>2</v>
      </c>
      <c r="Z90" s="160">
        <v>23</v>
      </c>
    </row>
    <row r="91" spans="1:26" ht="21" x14ac:dyDescent="0.3">
      <c r="A91" s="8">
        <v>12</v>
      </c>
      <c r="B91" s="316" t="s">
        <v>691</v>
      </c>
      <c r="C91" s="215" t="s">
        <v>434</v>
      </c>
      <c r="D91" s="166">
        <v>17</v>
      </c>
      <c r="E91" s="166">
        <v>48</v>
      </c>
      <c r="F91" s="154">
        <v>2</v>
      </c>
      <c r="G91" s="192">
        <v>25</v>
      </c>
      <c r="H91" s="192">
        <v>30</v>
      </c>
      <c r="I91" s="156">
        <v>2</v>
      </c>
      <c r="J91" s="166">
        <v>22</v>
      </c>
      <c r="K91" s="166">
        <v>38</v>
      </c>
      <c r="L91" s="154">
        <v>2</v>
      </c>
      <c r="M91" s="192">
        <v>20</v>
      </c>
      <c r="N91" s="192">
        <v>43</v>
      </c>
      <c r="O91" s="156">
        <v>2</v>
      </c>
      <c r="P91" s="166">
        <v>25</v>
      </c>
      <c r="Q91" s="166">
        <v>21</v>
      </c>
      <c r="R91" s="154">
        <v>2</v>
      </c>
      <c r="S91" s="226">
        <v>20</v>
      </c>
      <c r="T91" s="226">
        <v>29</v>
      </c>
      <c r="U91" s="156">
        <v>2</v>
      </c>
      <c r="V91" s="159">
        <f t="shared" si="6"/>
        <v>129</v>
      </c>
      <c r="W91" s="150">
        <f t="shared" si="7"/>
        <v>209</v>
      </c>
      <c r="X91" s="159">
        <f t="shared" si="8"/>
        <v>12</v>
      </c>
      <c r="Y91" s="170">
        <v>3</v>
      </c>
      <c r="Z91" s="170">
        <v>28</v>
      </c>
    </row>
    <row r="92" spans="1:26" ht="21" x14ac:dyDescent="0.3">
      <c r="A92" s="8">
        <v>13</v>
      </c>
      <c r="B92" s="316" t="s">
        <v>691</v>
      </c>
      <c r="C92" s="215" t="s">
        <v>435</v>
      </c>
      <c r="D92" s="166">
        <v>31</v>
      </c>
      <c r="E92" s="166">
        <v>37</v>
      </c>
      <c r="F92" s="186">
        <v>2</v>
      </c>
      <c r="G92" s="167">
        <v>41</v>
      </c>
      <c r="H92" s="167">
        <v>32</v>
      </c>
      <c r="I92" s="158">
        <v>2</v>
      </c>
      <c r="J92" s="166">
        <v>29</v>
      </c>
      <c r="K92" s="166">
        <v>58</v>
      </c>
      <c r="L92" s="186">
        <v>2</v>
      </c>
      <c r="M92" s="167">
        <v>21</v>
      </c>
      <c r="N92" s="167">
        <v>58</v>
      </c>
      <c r="O92" s="158">
        <v>2</v>
      </c>
      <c r="P92" s="166">
        <v>46</v>
      </c>
      <c r="Q92" s="166">
        <v>36</v>
      </c>
      <c r="R92" s="186">
        <v>2</v>
      </c>
      <c r="S92" s="167">
        <v>39</v>
      </c>
      <c r="T92" s="167">
        <v>68</v>
      </c>
      <c r="U92" s="158">
        <v>3</v>
      </c>
      <c r="V92" s="159">
        <f t="shared" si="6"/>
        <v>207</v>
      </c>
      <c r="W92" s="150">
        <f t="shared" si="7"/>
        <v>289</v>
      </c>
      <c r="X92" s="159">
        <f t="shared" si="8"/>
        <v>13</v>
      </c>
      <c r="Y92" s="170">
        <v>7</v>
      </c>
      <c r="Z92" s="170">
        <v>29</v>
      </c>
    </row>
    <row r="93" spans="1:26" ht="21" x14ac:dyDescent="0.3">
      <c r="A93" s="8">
        <v>14</v>
      </c>
      <c r="B93" s="316" t="s">
        <v>691</v>
      </c>
      <c r="C93" s="215" t="s">
        <v>436</v>
      </c>
      <c r="D93" s="169">
        <v>20</v>
      </c>
      <c r="E93" s="154">
        <v>12</v>
      </c>
      <c r="F93" s="154">
        <v>1</v>
      </c>
      <c r="G93" s="156">
        <v>17</v>
      </c>
      <c r="H93" s="156">
        <v>14</v>
      </c>
      <c r="I93" s="156">
        <v>1</v>
      </c>
      <c r="J93" s="154">
        <v>25</v>
      </c>
      <c r="K93" s="154">
        <v>15</v>
      </c>
      <c r="L93" s="154">
        <v>1</v>
      </c>
      <c r="M93" s="156">
        <v>35</v>
      </c>
      <c r="N93" s="156">
        <v>17</v>
      </c>
      <c r="O93" s="156">
        <v>1</v>
      </c>
      <c r="P93" s="154">
        <v>16</v>
      </c>
      <c r="Q93" s="154">
        <v>20</v>
      </c>
      <c r="R93" s="154">
        <v>1</v>
      </c>
      <c r="S93" s="156">
        <v>17</v>
      </c>
      <c r="T93" s="156">
        <v>23</v>
      </c>
      <c r="U93" s="156">
        <v>1</v>
      </c>
      <c r="V93" s="159">
        <f t="shared" si="6"/>
        <v>130</v>
      </c>
      <c r="W93" s="150">
        <f t="shared" si="7"/>
        <v>101</v>
      </c>
      <c r="X93" s="159">
        <f t="shared" si="8"/>
        <v>6</v>
      </c>
      <c r="Y93" s="191">
        <v>3</v>
      </c>
      <c r="Z93" s="191">
        <v>13</v>
      </c>
    </row>
    <row r="94" spans="1:26" ht="21" x14ac:dyDescent="0.3">
      <c r="A94" s="8">
        <v>15</v>
      </c>
      <c r="B94" s="316" t="s">
        <v>691</v>
      </c>
      <c r="C94" s="215" t="s">
        <v>437</v>
      </c>
      <c r="D94" s="166">
        <v>27</v>
      </c>
      <c r="E94" s="166">
        <v>16</v>
      </c>
      <c r="F94" s="154">
        <v>1</v>
      </c>
      <c r="G94" s="167">
        <v>22</v>
      </c>
      <c r="H94" s="167">
        <v>17</v>
      </c>
      <c r="I94" s="156">
        <v>2</v>
      </c>
      <c r="J94" s="166">
        <v>22</v>
      </c>
      <c r="K94" s="166">
        <v>26</v>
      </c>
      <c r="L94" s="154">
        <v>2</v>
      </c>
      <c r="M94" s="167">
        <v>13</v>
      </c>
      <c r="N94" s="167">
        <v>11</v>
      </c>
      <c r="O94" s="156">
        <v>1</v>
      </c>
      <c r="P94" s="154">
        <v>21</v>
      </c>
      <c r="Q94" s="154">
        <v>19</v>
      </c>
      <c r="R94" s="154">
        <v>1</v>
      </c>
      <c r="S94" s="167">
        <v>21</v>
      </c>
      <c r="T94" s="167">
        <v>26</v>
      </c>
      <c r="U94" s="156">
        <v>1</v>
      </c>
      <c r="V94" s="159">
        <f t="shared" si="6"/>
        <v>126</v>
      </c>
      <c r="W94" s="150">
        <f t="shared" si="7"/>
        <v>115</v>
      </c>
      <c r="X94" s="159">
        <f t="shared" si="8"/>
        <v>8</v>
      </c>
      <c r="Y94" s="170">
        <v>5</v>
      </c>
      <c r="Z94" s="170">
        <v>18</v>
      </c>
    </row>
    <row r="95" spans="1:26" ht="21" x14ac:dyDescent="0.3">
      <c r="A95" s="8">
        <v>16</v>
      </c>
      <c r="B95" s="316" t="s">
        <v>691</v>
      </c>
      <c r="C95" s="215" t="s">
        <v>438</v>
      </c>
      <c r="D95" s="166">
        <v>50</v>
      </c>
      <c r="E95" s="166">
        <v>42</v>
      </c>
      <c r="F95" s="154">
        <v>2</v>
      </c>
      <c r="G95" s="167">
        <v>43</v>
      </c>
      <c r="H95" s="167">
        <v>45</v>
      </c>
      <c r="I95" s="156">
        <v>2</v>
      </c>
      <c r="J95" s="166">
        <v>30</v>
      </c>
      <c r="K95" s="166">
        <v>27</v>
      </c>
      <c r="L95" s="154">
        <v>2</v>
      </c>
      <c r="M95" s="167">
        <v>40</v>
      </c>
      <c r="N95" s="167">
        <v>37</v>
      </c>
      <c r="O95" s="156">
        <v>2</v>
      </c>
      <c r="P95" s="166">
        <v>40</v>
      </c>
      <c r="Q95" s="166">
        <v>28</v>
      </c>
      <c r="R95" s="154">
        <v>2</v>
      </c>
      <c r="S95" s="167">
        <v>24</v>
      </c>
      <c r="T95" s="167">
        <v>24</v>
      </c>
      <c r="U95" s="156">
        <v>2</v>
      </c>
      <c r="V95" s="159">
        <f t="shared" si="6"/>
        <v>227</v>
      </c>
      <c r="W95" s="150">
        <f t="shared" si="7"/>
        <v>203</v>
      </c>
      <c r="X95" s="159">
        <f t="shared" si="8"/>
        <v>12</v>
      </c>
      <c r="Y95" s="170">
        <v>2</v>
      </c>
      <c r="Z95" s="170">
        <v>17</v>
      </c>
    </row>
    <row r="96" spans="1:26" ht="21" x14ac:dyDescent="0.3">
      <c r="A96" s="8">
        <v>17</v>
      </c>
      <c r="B96" s="316" t="s">
        <v>691</v>
      </c>
      <c r="C96" s="215" t="s">
        <v>439</v>
      </c>
      <c r="D96" s="166">
        <v>18</v>
      </c>
      <c r="E96" s="166">
        <v>14</v>
      </c>
      <c r="F96" s="154">
        <v>1</v>
      </c>
      <c r="G96" s="167">
        <v>18</v>
      </c>
      <c r="H96" s="167">
        <v>18</v>
      </c>
      <c r="I96" s="156">
        <v>1</v>
      </c>
      <c r="J96" s="154">
        <v>17</v>
      </c>
      <c r="K96" s="154">
        <v>25</v>
      </c>
      <c r="L96" s="154">
        <v>1</v>
      </c>
      <c r="M96" s="167">
        <v>10</v>
      </c>
      <c r="N96" s="167">
        <v>9</v>
      </c>
      <c r="O96" s="156">
        <v>1</v>
      </c>
      <c r="P96" s="166">
        <v>12</v>
      </c>
      <c r="Q96" s="166">
        <v>8</v>
      </c>
      <c r="R96" s="154">
        <v>1</v>
      </c>
      <c r="S96" s="156">
        <v>31</v>
      </c>
      <c r="T96" s="156">
        <v>22</v>
      </c>
      <c r="U96" s="156">
        <v>1</v>
      </c>
      <c r="V96" s="159">
        <f t="shared" si="6"/>
        <v>106</v>
      </c>
      <c r="W96" s="150">
        <f t="shared" si="7"/>
        <v>96</v>
      </c>
      <c r="X96" s="159">
        <f t="shared" si="8"/>
        <v>6</v>
      </c>
      <c r="Y96" s="170">
        <v>2</v>
      </c>
      <c r="Z96" s="170">
        <v>13</v>
      </c>
    </row>
    <row r="97" spans="1:26" ht="21" x14ac:dyDescent="0.3">
      <c r="A97" s="8">
        <v>18</v>
      </c>
      <c r="B97" s="316" t="s">
        <v>691</v>
      </c>
      <c r="C97" s="215" t="s">
        <v>440</v>
      </c>
      <c r="D97" s="169">
        <v>13</v>
      </c>
      <c r="E97" s="154">
        <v>10</v>
      </c>
      <c r="F97" s="154">
        <v>1</v>
      </c>
      <c r="G97" s="156">
        <v>2</v>
      </c>
      <c r="H97" s="156">
        <v>2</v>
      </c>
      <c r="I97" s="156">
        <v>1</v>
      </c>
      <c r="J97" s="154">
        <v>0</v>
      </c>
      <c r="K97" s="154">
        <v>0</v>
      </c>
      <c r="L97" s="154">
        <v>1</v>
      </c>
      <c r="M97" s="156">
        <v>6</v>
      </c>
      <c r="N97" s="156">
        <v>9</v>
      </c>
      <c r="O97" s="156">
        <v>1</v>
      </c>
      <c r="P97" s="166">
        <v>2</v>
      </c>
      <c r="Q97" s="166">
        <v>2</v>
      </c>
      <c r="R97" s="154">
        <v>1</v>
      </c>
      <c r="S97" s="171">
        <v>0</v>
      </c>
      <c r="T97" s="171">
        <v>0</v>
      </c>
      <c r="U97" s="171">
        <v>1</v>
      </c>
      <c r="V97" s="159">
        <f t="shared" si="6"/>
        <v>23</v>
      </c>
      <c r="W97" s="150">
        <f t="shared" si="7"/>
        <v>23</v>
      </c>
      <c r="X97" s="159">
        <f t="shared" si="8"/>
        <v>6</v>
      </c>
      <c r="Y97" s="191">
        <v>0</v>
      </c>
      <c r="Z97" s="191">
        <v>13</v>
      </c>
    </row>
    <row r="98" spans="1:26" ht="21" x14ac:dyDescent="0.3">
      <c r="A98" s="8">
        <v>19</v>
      </c>
      <c r="B98" s="316" t="s">
        <v>691</v>
      </c>
      <c r="C98" s="215" t="s">
        <v>441</v>
      </c>
      <c r="D98" s="166">
        <v>44</v>
      </c>
      <c r="E98" s="166">
        <v>97</v>
      </c>
      <c r="F98" s="154">
        <v>4</v>
      </c>
      <c r="G98" s="167">
        <v>53</v>
      </c>
      <c r="H98" s="167">
        <v>69</v>
      </c>
      <c r="I98" s="156">
        <v>3</v>
      </c>
      <c r="J98" s="166">
        <v>54</v>
      </c>
      <c r="K98" s="166">
        <v>93</v>
      </c>
      <c r="L98" s="154">
        <v>3</v>
      </c>
      <c r="M98" s="167">
        <v>55</v>
      </c>
      <c r="N98" s="167">
        <v>100</v>
      </c>
      <c r="O98" s="156">
        <v>4</v>
      </c>
      <c r="P98" s="166">
        <v>33</v>
      </c>
      <c r="Q98" s="166">
        <v>79</v>
      </c>
      <c r="R98" s="154">
        <v>3</v>
      </c>
      <c r="S98" s="167">
        <v>36</v>
      </c>
      <c r="T98" s="167">
        <v>45</v>
      </c>
      <c r="U98" s="156">
        <v>3</v>
      </c>
      <c r="V98" s="159">
        <f t="shared" si="6"/>
        <v>275</v>
      </c>
      <c r="W98" s="150">
        <f t="shared" si="7"/>
        <v>483</v>
      </c>
      <c r="X98" s="159">
        <f t="shared" si="8"/>
        <v>20</v>
      </c>
      <c r="Y98" s="170">
        <v>3</v>
      </c>
      <c r="Z98" s="170">
        <v>28</v>
      </c>
    </row>
    <row r="99" spans="1:26" ht="21" x14ac:dyDescent="0.3">
      <c r="A99" s="8">
        <v>1</v>
      </c>
      <c r="B99" s="316" t="s">
        <v>692</v>
      </c>
      <c r="C99" s="152" t="s">
        <v>443</v>
      </c>
      <c r="D99" s="153">
        <v>230</v>
      </c>
      <c r="E99" s="186">
        <v>0</v>
      </c>
      <c r="F99" s="186">
        <v>6</v>
      </c>
      <c r="G99" s="295">
        <v>232</v>
      </c>
      <c r="H99" s="167">
        <v>0</v>
      </c>
      <c r="I99" s="211">
        <v>5</v>
      </c>
      <c r="J99" s="166">
        <v>220</v>
      </c>
      <c r="K99" s="166">
        <v>0</v>
      </c>
      <c r="L99" s="210">
        <v>4</v>
      </c>
      <c r="M99" s="167">
        <v>148</v>
      </c>
      <c r="N99" s="167">
        <v>0</v>
      </c>
      <c r="O99" s="211">
        <v>4</v>
      </c>
      <c r="P99" s="166">
        <v>141</v>
      </c>
      <c r="Q99" s="166">
        <v>0</v>
      </c>
      <c r="R99" s="210">
        <v>4</v>
      </c>
      <c r="S99" s="167">
        <v>109</v>
      </c>
      <c r="T99" s="167">
        <v>0</v>
      </c>
      <c r="U99" s="158">
        <v>4</v>
      </c>
      <c r="V99" s="187">
        <f t="shared" si="6"/>
        <v>1080</v>
      </c>
      <c r="W99" s="187">
        <f t="shared" si="7"/>
        <v>0</v>
      </c>
      <c r="X99" s="187">
        <f t="shared" si="8"/>
        <v>27</v>
      </c>
      <c r="Y99" s="160">
        <v>4</v>
      </c>
      <c r="Z99" s="160">
        <v>29</v>
      </c>
    </row>
    <row r="100" spans="1:26" ht="21" x14ac:dyDescent="0.3">
      <c r="A100" s="8">
        <v>2</v>
      </c>
      <c r="B100" s="316" t="s">
        <v>692</v>
      </c>
      <c r="C100" s="152" t="s">
        <v>444</v>
      </c>
      <c r="D100" s="296">
        <v>54</v>
      </c>
      <c r="E100" s="296">
        <v>47</v>
      </c>
      <c r="F100" s="186">
        <v>2</v>
      </c>
      <c r="G100" s="295">
        <v>59</v>
      </c>
      <c r="H100" s="167">
        <v>48</v>
      </c>
      <c r="I100" s="156">
        <v>2</v>
      </c>
      <c r="J100" s="166">
        <v>61</v>
      </c>
      <c r="K100" s="166">
        <v>59</v>
      </c>
      <c r="L100" s="154">
        <v>2</v>
      </c>
      <c r="M100" s="167">
        <v>40</v>
      </c>
      <c r="N100" s="167">
        <v>66</v>
      </c>
      <c r="O100" s="156">
        <v>2</v>
      </c>
      <c r="P100" s="166">
        <v>54</v>
      </c>
      <c r="Q100" s="166">
        <v>60</v>
      </c>
      <c r="R100" s="154">
        <v>2</v>
      </c>
      <c r="S100" s="167">
        <v>46</v>
      </c>
      <c r="T100" s="167">
        <v>57</v>
      </c>
      <c r="U100" s="158">
        <v>2</v>
      </c>
      <c r="V100" s="187">
        <f t="shared" si="6"/>
        <v>314</v>
      </c>
      <c r="W100" s="187">
        <f t="shared" si="7"/>
        <v>337</v>
      </c>
      <c r="X100" s="187">
        <f t="shared" si="8"/>
        <v>12</v>
      </c>
      <c r="Y100" s="293">
        <v>2</v>
      </c>
      <c r="Z100" s="293">
        <v>20</v>
      </c>
    </row>
    <row r="101" spans="1:26" ht="21" x14ac:dyDescent="0.3">
      <c r="A101" s="8">
        <v>3</v>
      </c>
      <c r="B101" s="316" t="s">
        <v>692</v>
      </c>
      <c r="C101" s="152" t="s">
        <v>445</v>
      </c>
      <c r="D101" s="296">
        <v>67</v>
      </c>
      <c r="E101" s="296">
        <v>73</v>
      </c>
      <c r="F101" s="186">
        <v>4</v>
      </c>
      <c r="G101" s="295">
        <v>70</v>
      </c>
      <c r="H101" s="167">
        <v>87</v>
      </c>
      <c r="I101" s="156">
        <v>4</v>
      </c>
      <c r="J101" s="154">
        <v>77</v>
      </c>
      <c r="K101" s="154">
        <v>97</v>
      </c>
      <c r="L101" s="154">
        <v>4</v>
      </c>
      <c r="M101" s="156">
        <v>33</v>
      </c>
      <c r="N101" s="156">
        <v>62</v>
      </c>
      <c r="O101" s="156">
        <v>3</v>
      </c>
      <c r="P101" s="154">
        <v>55</v>
      </c>
      <c r="Q101" s="154">
        <v>64</v>
      </c>
      <c r="R101" s="154">
        <v>3</v>
      </c>
      <c r="S101" s="167">
        <v>54</v>
      </c>
      <c r="T101" s="167">
        <v>61</v>
      </c>
      <c r="U101" s="158">
        <v>3</v>
      </c>
      <c r="V101" s="187">
        <f t="shared" si="6"/>
        <v>356</v>
      </c>
      <c r="W101" s="187">
        <f t="shared" si="7"/>
        <v>444</v>
      </c>
      <c r="X101" s="187">
        <f t="shared" si="8"/>
        <v>21</v>
      </c>
      <c r="Y101" s="293">
        <v>4</v>
      </c>
      <c r="Z101" s="293">
        <v>24</v>
      </c>
    </row>
    <row r="102" spans="1:26" ht="21" x14ac:dyDescent="0.3">
      <c r="A102" s="8">
        <v>4</v>
      </c>
      <c r="B102" s="316" t="s">
        <v>692</v>
      </c>
      <c r="C102" s="152" t="s">
        <v>446</v>
      </c>
      <c r="D102" s="296">
        <v>102</v>
      </c>
      <c r="E102" s="296">
        <v>98</v>
      </c>
      <c r="F102" s="186"/>
      <c r="G102" s="295">
        <v>68</v>
      </c>
      <c r="H102" s="167">
        <v>82</v>
      </c>
      <c r="I102" s="156"/>
      <c r="J102" s="166">
        <v>85</v>
      </c>
      <c r="K102" s="166">
        <v>95</v>
      </c>
      <c r="L102" s="154"/>
      <c r="M102" s="167">
        <v>65</v>
      </c>
      <c r="N102" s="167">
        <v>75</v>
      </c>
      <c r="O102" s="156"/>
      <c r="P102" s="166">
        <v>40</v>
      </c>
      <c r="Q102" s="166">
        <v>49</v>
      </c>
      <c r="R102" s="154"/>
      <c r="S102" s="167">
        <v>55</v>
      </c>
      <c r="T102" s="167">
        <v>92</v>
      </c>
      <c r="U102" s="158"/>
      <c r="V102" s="187">
        <f t="shared" si="6"/>
        <v>415</v>
      </c>
      <c r="W102" s="187">
        <f t="shared" si="7"/>
        <v>491</v>
      </c>
      <c r="X102" s="187">
        <f t="shared" si="8"/>
        <v>0</v>
      </c>
      <c r="Y102" s="293">
        <v>7</v>
      </c>
      <c r="Z102" s="293">
        <v>20</v>
      </c>
    </row>
    <row r="103" spans="1:26" ht="21" x14ac:dyDescent="0.3">
      <c r="A103" s="8">
        <v>5</v>
      </c>
      <c r="B103" s="316" t="s">
        <v>692</v>
      </c>
      <c r="C103" s="152" t="s">
        <v>447</v>
      </c>
      <c r="D103" s="296">
        <v>38</v>
      </c>
      <c r="E103" s="296">
        <v>49</v>
      </c>
      <c r="F103" s="186">
        <v>2</v>
      </c>
      <c r="G103" s="295">
        <v>58</v>
      </c>
      <c r="H103" s="167">
        <v>46</v>
      </c>
      <c r="I103" s="156">
        <v>2</v>
      </c>
      <c r="J103" s="166">
        <v>43</v>
      </c>
      <c r="K103" s="166">
        <v>55</v>
      </c>
      <c r="L103" s="154">
        <v>2</v>
      </c>
      <c r="M103" s="167">
        <v>35</v>
      </c>
      <c r="N103" s="167">
        <v>45</v>
      </c>
      <c r="O103" s="156">
        <v>2</v>
      </c>
      <c r="P103" s="166">
        <v>24</v>
      </c>
      <c r="Q103" s="166">
        <v>32</v>
      </c>
      <c r="R103" s="154">
        <v>2</v>
      </c>
      <c r="S103" s="167">
        <v>19</v>
      </c>
      <c r="T103" s="167">
        <v>29</v>
      </c>
      <c r="U103" s="158">
        <v>2</v>
      </c>
      <c r="V103" s="187">
        <f t="shared" ref="V103:V166" si="9">D103+G103+J103+M103+P103+S103</f>
        <v>217</v>
      </c>
      <c r="W103" s="187">
        <f t="shared" si="7"/>
        <v>256</v>
      </c>
      <c r="X103" s="187">
        <f t="shared" si="8"/>
        <v>12</v>
      </c>
      <c r="Y103" s="293">
        <v>2</v>
      </c>
      <c r="Z103" s="293">
        <v>21</v>
      </c>
    </row>
    <row r="104" spans="1:26" ht="21.75" thickBot="1" x14ac:dyDescent="0.35">
      <c r="A104" s="8">
        <v>6</v>
      </c>
      <c r="B104" s="316" t="s">
        <v>692</v>
      </c>
      <c r="C104" s="152" t="s">
        <v>448</v>
      </c>
      <c r="D104" s="291">
        <v>36</v>
      </c>
      <c r="E104" s="291">
        <v>46</v>
      </c>
      <c r="F104" s="186">
        <v>2</v>
      </c>
      <c r="G104" s="292">
        <v>23</v>
      </c>
      <c r="H104" s="161">
        <v>27</v>
      </c>
      <c r="I104" s="156">
        <v>2</v>
      </c>
      <c r="J104" s="162">
        <v>47</v>
      </c>
      <c r="K104" s="162">
        <v>39</v>
      </c>
      <c r="L104" s="154">
        <v>2</v>
      </c>
      <c r="M104" s="161">
        <v>28</v>
      </c>
      <c r="N104" s="161">
        <v>35</v>
      </c>
      <c r="O104" s="156">
        <v>2</v>
      </c>
      <c r="P104" s="162">
        <v>22</v>
      </c>
      <c r="Q104" s="162">
        <v>13</v>
      </c>
      <c r="R104" s="154">
        <v>2</v>
      </c>
      <c r="S104" s="161">
        <v>22</v>
      </c>
      <c r="T104" s="161">
        <v>33</v>
      </c>
      <c r="U104" s="158">
        <v>2</v>
      </c>
      <c r="V104" s="187">
        <f t="shared" si="9"/>
        <v>178</v>
      </c>
      <c r="W104" s="187">
        <f t="shared" si="7"/>
        <v>193</v>
      </c>
      <c r="X104" s="187">
        <f t="shared" si="8"/>
        <v>12</v>
      </c>
      <c r="Y104" s="294">
        <v>2</v>
      </c>
      <c r="Z104" s="294">
        <v>13</v>
      </c>
    </row>
    <row r="105" spans="1:26" ht="21.75" thickBot="1" x14ac:dyDescent="0.35">
      <c r="A105" s="8">
        <v>7</v>
      </c>
      <c r="B105" s="316" t="s">
        <v>692</v>
      </c>
      <c r="C105" s="152" t="s">
        <v>449</v>
      </c>
      <c r="D105" s="296">
        <v>0</v>
      </c>
      <c r="E105" s="297">
        <v>200</v>
      </c>
      <c r="F105" s="186">
        <v>4</v>
      </c>
      <c r="G105" s="295">
        <v>0</v>
      </c>
      <c r="H105" s="231">
        <v>178</v>
      </c>
      <c r="I105" s="158">
        <v>4</v>
      </c>
      <c r="J105" s="166">
        <v>0</v>
      </c>
      <c r="K105" s="232">
        <v>197</v>
      </c>
      <c r="L105" s="186">
        <v>4</v>
      </c>
      <c r="M105" s="167">
        <v>0</v>
      </c>
      <c r="N105" s="233">
        <v>197</v>
      </c>
      <c r="O105" s="158">
        <v>4</v>
      </c>
      <c r="P105" s="166">
        <v>0</v>
      </c>
      <c r="Q105" s="232">
        <v>177</v>
      </c>
      <c r="R105" s="186">
        <v>4</v>
      </c>
      <c r="S105" s="167">
        <v>0</v>
      </c>
      <c r="T105" s="231">
        <v>183</v>
      </c>
      <c r="U105" s="158">
        <v>4</v>
      </c>
      <c r="V105" s="187">
        <f t="shared" si="9"/>
        <v>0</v>
      </c>
      <c r="W105" s="187">
        <f t="shared" si="7"/>
        <v>1132</v>
      </c>
      <c r="X105" s="187">
        <f t="shared" si="8"/>
        <v>24</v>
      </c>
      <c r="Y105" s="293">
        <v>6</v>
      </c>
      <c r="Z105" s="293">
        <v>23</v>
      </c>
    </row>
    <row r="106" spans="1:26" ht="21" x14ac:dyDescent="0.3">
      <c r="A106" s="8">
        <v>8</v>
      </c>
      <c r="B106" s="316" t="s">
        <v>692</v>
      </c>
      <c r="C106" s="152" t="s">
        <v>450</v>
      </c>
      <c r="D106" s="296">
        <v>20</v>
      </c>
      <c r="E106" s="296">
        <v>13</v>
      </c>
      <c r="F106" s="186">
        <v>1</v>
      </c>
      <c r="G106" s="295">
        <v>18</v>
      </c>
      <c r="H106" s="167">
        <v>22</v>
      </c>
      <c r="I106" s="156">
        <v>1</v>
      </c>
      <c r="J106" s="166">
        <v>12</v>
      </c>
      <c r="K106" s="166">
        <v>9</v>
      </c>
      <c r="L106" s="154">
        <v>1</v>
      </c>
      <c r="M106" s="167">
        <v>14</v>
      </c>
      <c r="N106" s="167">
        <v>17</v>
      </c>
      <c r="O106" s="156">
        <v>1</v>
      </c>
      <c r="P106" s="166">
        <v>6</v>
      </c>
      <c r="Q106" s="166">
        <v>7</v>
      </c>
      <c r="R106" s="154">
        <v>1</v>
      </c>
      <c r="S106" s="167">
        <v>12</v>
      </c>
      <c r="T106" s="167">
        <v>16</v>
      </c>
      <c r="U106" s="158">
        <v>1</v>
      </c>
      <c r="V106" s="187">
        <f t="shared" si="9"/>
        <v>82</v>
      </c>
      <c r="W106" s="187">
        <f t="shared" si="7"/>
        <v>84</v>
      </c>
      <c r="X106" s="187">
        <f t="shared" si="8"/>
        <v>6</v>
      </c>
      <c r="Y106" s="293">
        <v>3</v>
      </c>
      <c r="Z106" s="293">
        <v>8</v>
      </c>
    </row>
    <row r="107" spans="1:26" ht="21" x14ac:dyDescent="0.3">
      <c r="A107" s="8">
        <v>1</v>
      </c>
      <c r="B107" s="315" t="s">
        <v>693</v>
      </c>
      <c r="C107" s="203" t="s">
        <v>452</v>
      </c>
      <c r="D107" s="166">
        <v>29</v>
      </c>
      <c r="E107" s="166">
        <v>30</v>
      </c>
      <c r="F107" s="210">
        <v>3</v>
      </c>
      <c r="G107" s="167">
        <v>93</v>
      </c>
      <c r="H107" s="167">
        <v>0</v>
      </c>
      <c r="I107" s="211">
        <v>3</v>
      </c>
      <c r="J107" s="166">
        <v>93</v>
      </c>
      <c r="K107" s="166">
        <v>0</v>
      </c>
      <c r="L107" s="210">
        <v>3</v>
      </c>
      <c r="M107" s="167">
        <v>92</v>
      </c>
      <c r="N107" s="167">
        <v>0</v>
      </c>
      <c r="O107" s="211">
        <v>3</v>
      </c>
      <c r="P107" s="166">
        <v>85</v>
      </c>
      <c r="Q107" s="166">
        <v>0</v>
      </c>
      <c r="R107" s="210">
        <v>3</v>
      </c>
      <c r="S107" s="167">
        <v>99</v>
      </c>
      <c r="T107" s="167">
        <v>0</v>
      </c>
      <c r="U107" s="211">
        <v>3</v>
      </c>
      <c r="V107" s="212">
        <f t="shared" si="9"/>
        <v>491</v>
      </c>
      <c r="W107" s="212">
        <f t="shared" si="7"/>
        <v>30</v>
      </c>
      <c r="X107" s="212">
        <f t="shared" si="8"/>
        <v>18</v>
      </c>
      <c r="Y107" s="170">
        <v>13</v>
      </c>
      <c r="Z107" s="170">
        <v>31</v>
      </c>
    </row>
    <row r="108" spans="1:26" ht="21" x14ac:dyDescent="0.3">
      <c r="A108" s="8">
        <v>2</v>
      </c>
      <c r="B108" s="315" t="s">
        <v>693</v>
      </c>
      <c r="C108" s="203" t="s">
        <v>453</v>
      </c>
      <c r="D108" s="223">
        <v>26</v>
      </c>
      <c r="E108" s="223">
        <v>26</v>
      </c>
      <c r="F108" s="210">
        <v>1</v>
      </c>
      <c r="G108" s="167"/>
      <c r="H108" s="167">
        <v>20</v>
      </c>
      <c r="I108" s="211">
        <v>1</v>
      </c>
      <c r="J108" s="166"/>
      <c r="K108" s="166">
        <v>36</v>
      </c>
      <c r="L108" s="210">
        <v>1</v>
      </c>
      <c r="M108" s="167"/>
      <c r="N108" s="167">
        <v>36</v>
      </c>
      <c r="O108" s="211">
        <v>1</v>
      </c>
      <c r="P108" s="166"/>
      <c r="Q108" s="166">
        <v>44</v>
      </c>
      <c r="R108" s="210">
        <v>1</v>
      </c>
      <c r="S108" s="167"/>
      <c r="T108" s="167">
        <v>44</v>
      </c>
      <c r="U108" s="211">
        <v>2</v>
      </c>
      <c r="V108" s="212">
        <f t="shared" si="9"/>
        <v>26</v>
      </c>
      <c r="W108" s="212">
        <f t="shared" si="7"/>
        <v>206</v>
      </c>
      <c r="X108" s="212">
        <f t="shared" si="8"/>
        <v>7</v>
      </c>
      <c r="Y108" s="234">
        <v>4</v>
      </c>
      <c r="Z108" s="234">
        <v>20</v>
      </c>
    </row>
    <row r="109" spans="1:26" ht="21" x14ac:dyDescent="0.3">
      <c r="A109" s="8">
        <v>3</v>
      </c>
      <c r="B109" s="315" t="s">
        <v>693</v>
      </c>
      <c r="C109" s="203" t="s">
        <v>454</v>
      </c>
      <c r="D109" s="166">
        <v>82</v>
      </c>
      <c r="E109" s="166">
        <v>0</v>
      </c>
      <c r="F109" s="210">
        <v>2</v>
      </c>
      <c r="G109" s="211">
        <v>65</v>
      </c>
      <c r="H109" s="211">
        <v>0</v>
      </c>
      <c r="I109" s="211">
        <v>2</v>
      </c>
      <c r="J109" s="166">
        <v>93</v>
      </c>
      <c r="K109" s="166">
        <v>0</v>
      </c>
      <c r="L109" s="210">
        <v>2</v>
      </c>
      <c r="M109" s="167">
        <v>58</v>
      </c>
      <c r="N109" s="167">
        <v>0</v>
      </c>
      <c r="O109" s="211">
        <v>2</v>
      </c>
      <c r="P109" s="210">
        <v>57</v>
      </c>
      <c r="Q109" s="210">
        <v>0</v>
      </c>
      <c r="R109" s="210">
        <v>2</v>
      </c>
      <c r="S109" s="167">
        <v>72</v>
      </c>
      <c r="T109" s="167">
        <v>0</v>
      </c>
      <c r="U109" s="211">
        <v>2</v>
      </c>
      <c r="V109" s="212">
        <f t="shared" si="9"/>
        <v>427</v>
      </c>
      <c r="W109" s="212">
        <f t="shared" si="7"/>
        <v>0</v>
      </c>
      <c r="X109" s="212">
        <f t="shared" si="8"/>
        <v>12</v>
      </c>
      <c r="Y109" s="170">
        <v>12</v>
      </c>
      <c r="Z109" s="170">
        <v>21</v>
      </c>
    </row>
    <row r="110" spans="1:26" ht="21" x14ac:dyDescent="0.3">
      <c r="A110" s="8">
        <v>4</v>
      </c>
      <c r="B110" s="315" t="s">
        <v>693</v>
      </c>
      <c r="C110" s="203" t="s">
        <v>455</v>
      </c>
      <c r="D110" s="166">
        <v>42</v>
      </c>
      <c r="E110" s="166">
        <v>41</v>
      </c>
      <c r="F110" s="154">
        <v>2</v>
      </c>
      <c r="G110" s="167">
        <v>46</v>
      </c>
      <c r="H110" s="167">
        <v>41</v>
      </c>
      <c r="I110" s="156">
        <v>2</v>
      </c>
      <c r="J110" s="166">
        <v>46</v>
      </c>
      <c r="K110" s="166">
        <v>40</v>
      </c>
      <c r="L110" s="154">
        <v>2</v>
      </c>
      <c r="M110" s="167">
        <v>38</v>
      </c>
      <c r="N110" s="167">
        <v>38</v>
      </c>
      <c r="O110" s="156">
        <v>2</v>
      </c>
      <c r="P110" s="166">
        <v>33</v>
      </c>
      <c r="Q110" s="166">
        <v>44</v>
      </c>
      <c r="R110" s="154">
        <v>2</v>
      </c>
      <c r="S110" s="167">
        <v>41</v>
      </c>
      <c r="T110" s="167">
        <v>36</v>
      </c>
      <c r="U110" s="156">
        <v>2</v>
      </c>
      <c r="V110" s="212">
        <f t="shared" si="9"/>
        <v>246</v>
      </c>
      <c r="W110" s="212">
        <f t="shared" si="7"/>
        <v>240</v>
      </c>
      <c r="X110" s="212">
        <f t="shared" si="8"/>
        <v>12</v>
      </c>
      <c r="Y110" s="170">
        <v>11</v>
      </c>
      <c r="Z110" s="170">
        <v>13</v>
      </c>
    </row>
    <row r="111" spans="1:26" ht="21" x14ac:dyDescent="0.3">
      <c r="A111" s="8">
        <v>5</v>
      </c>
      <c r="B111" s="315" t="s">
        <v>693</v>
      </c>
      <c r="C111" s="203" t="s">
        <v>456</v>
      </c>
      <c r="D111" s="166">
        <v>147</v>
      </c>
      <c r="E111" s="166"/>
      <c r="F111" s="210">
        <v>3</v>
      </c>
      <c r="G111" s="167">
        <v>169</v>
      </c>
      <c r="H111" s="167">
        <v>0</v>
      </c>
      <c r="I111" s="211">
        <v>4</v>
      </c>
      <c r="J111" s="166">
        <v>142</v>
      </c>
      <c r="K111" s="166">
        <v>0</v>
      </c>
      <c r="L111" s="210">
        <v>3</v>
      </c>
      <c r="M111" s="167">
        <v>162</v>
      </c>
      <c r="N111" s="167">
        <v>0</v>
      </c>
      <c r="O111" s="211">
        <v>3</v>
      </c>
      <c r="P111" s="166">
        <v>141</v>
      </c>
      <c r="Q111" s="166">
        <v>0</v>
      </c>
      <c r="R111" s="210">
        <v>3</v>
      </c>
      <c r="S111" s="167">
        <v>99</v>
      </c>
      <c r="T111" s="167">
        <v>0</v>
      </c>
      <c r="U111" s="211">
        <v>2</v>
      </c>
      <c r="V111" s="212">
        <f t="shared" si="9"/>
        <v>860</v>
      </c>
      <c r="W111" s="212">
        <f t="shared" si="7"/>
        <v>0</v>
      </c>
      <c r="X111" s="212">
        <f t="shared" si="8"/>
        <v>18</v>
      </c>
      <c r="Y111" s="170">
        <v>2</v>
      </c>
      <c r="Z111" s="170">
        <v>21</v>
      </c>
    </row>
    <row r="112" spans="1:26" ht="21" x14ac:dyDescent="0.3">
      <c r="A112" s="8">
        <v>6</v>
      </c>
      <c r="B112" s="315" t="s">
        <v>693</v>
      </c>
      <c r="C112" s="203" t="s">
        <v>457</v>
      </c>
      <c r="D112" s="162">
        <v>28</v>
      </c>
      <c r="E112" s="162">
        <v>58</v>
      </c>
      <c r="F112" s="154"/>
      <c r="G112" s="161">
        <v>36</v>
      </c>
      <c r="H112" s="161">
        <v>43</v>
      </c>
      <c r="I112" s="156"/>
      <c r="J112" s="162">
        <v>23</v>
      </c>
      <c r="K112" s="162">
        <v>24</v>
      </c>
      <c r="L112" s="154"/>
      <c r="M112" s="161">
        <v>19</v>
      </c>
      <c r="N112" s="161">
        <v>33</v>
      </c>
      <c r="O112" s="156"/>
      <c r="P112" s="162">
        <v>27</v>
      </c>
      <c r="Q112" s="162">
        <v>38</v>
      </c>
      <c r="R112" s="154"/>
      <c r="S112" s="161">
        <v>26</v>
      </c>
      <c r="T112" s="161">
        <v>38</v>
      </c>
      <c r="U112" s="156"/>
      <c r="V112" s="212">
        <f t="shared" si="9"/>
        <v>159</v>
      </c>
      <c r="W112" s="212">
        <f t="shared" si="7"/>
        <v>234</v>
      </c>
      <c r="X112" s="212">
        <f t="shared" si="8"/>
        <v>0</v>
      </c>
      <c r="Y112" s="165">
        <v>5</v>
      </c>
      <c r="Z112" s="165">
        <v>11</v>
      </c>
    </row>
    <row r="113" spans="1:26" ht="21" x14ac:dyDescent="0.3">
      <c r="A113" s="8">
        <v>7</v>
      </c>
      <c r="B113" s="315" t="s">
        <v>693</v>
      </c>
      <c r="C113" s="203" t="s">
        <v>458</v>
      </c>
      <c r="D113" s="166">
        <v>31</v>
      </c>
      <c r="E113" s="166">
        <v>29</v>
      </c>
      <c r="F113" s="154">
        <v>2</v>
      </c>
      <c r="G113" s="167">
        <v>30</v>
      </c>
      <c r="H113" s="167">
        <v>31</v>
      </c>
      <c r="I113" s="156">
        <v>2</v>
      </c>
      <c r="J113" s="166">
        <v>35</v>
      </c>
      <c r="K113" s="166">
        <v>27</v>
      </c>
      <c r="L113" s="154">
        <v>2</v>
      </c>
      <c r="M113" s="167">
        <v>33</v>
      </c>
      <c r="N113" s="167">
        <v>29</v>
      </c>
      <c r="O113" s="156">
        <v>1</v>
      </c>
      <c r="P113" s="166">
        <v>28</v>
      </c>
      <c r="Q113" s="166">
        <v>32</v>
      </c>
      <c r="R113" s="154">
        <v>2</v>
      </c>
      <c r="S113" s="167">
        <v>22</v>
      </c>
      <c r="T113" s="167">
        <v>47</v>
      </c>
      <c r="U113" s="156">
        <v>2</v>
      </c>
      <c r="V113" s="212">
        <f t="shared" si="9"/>
        <v>179</v>
      </c>
      <c r="W113" s="212">
        <f t="shared" si="7"/>
        <v>195</v>
      </c>
      <c r="X113" s="212">
        <f t="shared" si="8"/>
        <v>11</v>
      </c>
      <c r="Y113" s="170">
        <v>1</v>
      </c>
      <c r="Z113" s="170">
        <v>16</v>
      </c>
    </row>
    <row r="114" spans="1:26" ht="21" x14ac:dyDescent="0.3">
      <c r="A114" s="8">
        <v>8</v>
      </c>
      <c r="B114" s="315" t="s">
        <v>693</v>
      </c>
      <c r="C114" s="203" t="s">
        <v>459</v>
      </c>
      <c r="D114" s="166">
        <v>40</v>
      </c>
      <c r="E114" s="166">
        <v>36</v>
      </c>
      <c r="F114" s="154">
        <v>3</v>
      </c>
      <c r="G114" s="167">
        <v>93</v>
      </c>
      <c r="H114" s="167">
        <v>0</v>
      </c>
      <c r="I114" s="156">
        <v>3</v>
      </c>
      <c r="J114" s="166">
        <v>93</v>
      </c>
      <c r="K114" s="166">
        <v>0</v>
      </c>
      <c r="L114" s="154">
        <v>3</v>
      </c>
      <c r="M114" s="167">
        <v>92</v>
      </c>
      <c r="N114" s="167">
        <v>0</v>
      </c>
      <c r="O114" s="156">
        <v>3</v>
      </c>
      <c r="P114" s="166">
        <v>85</v>
      </c>
      <c r="Q114" s="166">
        <v>0</v>
      </c>
      <c r="R114" s="154">
        <v>3</v>
      </c>
      <c r="S114" s="167">
        <v>99</v>
      </c>
      <c r="T114" s="167">
        <v>0</v>
      </c>
      <c r="U114" s="156">
        <v>3</v>
      </c>
      <c r="V114" s="212">
        <f t="shared" si="9"/>
        <v>502</v>
      </c>
      <c r="W114" s="212">
        <f t="shared" si="7"/>
        <v>36</v>
      </c>
      <c r="X114" s="212">
        <f t="shared" si="8"/>
        <v>18</v>
      </c>
      <c r="Y114" s="170">
        <v>13</v>
      </c>
      <c r="Z114" s="170">
        <v>31</v>
      </c>
    </row>
    <row r="115" spans="1:26" ht="21" x14ac:dyDescent="0.3">
      <c r="A115" s="8">
        <v>9</v>
      </c>
      <c r="B115" s="315" t="s">
        <v>693</v>
      </c>
      <c r="C115" s="203" t="s">
        <v>460</v>
      </c>
      <c r="D115" s="166">
        <v>17</v>
      </c>
      <c r="E115" s="166">
        <v>51</v>
      </c>
      <c r="F115" s="154">
        <v>2</v>
      </c>
      <c r="G115" s="167">
        <v>9</v>
      </c>
      <c r="H115" s="167">
        <v>37</v>
      </c>
      <c r="I115" s="156">
        <v>1</v>
      </c>
      <c r="J115" s="166">
        <v>13</v>
      </c>
      <c r="K115" s="166">
        <v>43</v>
      </c>
      <c r="L115" s="154">
        <v>1</v>
      </c>
      <c r="M115" s="167">
        <v>13</v>
      </c>
      <c r="N115" s="167">
        <v>36</v>
      </c>
      <c r="O115" s="156">
        <v>1</v>
      </c>
      <c r="P115" s="166">
        <v>12</v>
      </c>
      <c r="Q115" s="166">
        <v>44</v>
      </c>
      <c r="R115" s="154">
        <v>2</v>
      </c>
      <c r="S115" s="167">
        <v>17</v>
      </c>
      <c r="T115" s="167">
        <v>28</v>
      </c>
      <c r="U115" s="156">
        <v>1</v>
      </c>
      <c r="V115" s="212">
        <f t="shared" si="9"/>
        <v>81</v>
      </c>
      <c r="W115" s="212">
        <f t="shared" si="7"/>
        <v>239</v>
      </c>
      <c r="X115" s="212">
        <f t="shared" si="8"/>
        <v>8</v>
      </c>
      <c r="Y115" s="191">
        <v>5</v>
      </c>
      <c r="Z115" s="191">
        <v>11</v>
      </c>
    </row>
    <row r="116" spans="1:26" ht="21" x14ac:dyDescent="0.3">
      <c r="A116" s="8">
        <v>10</v>
      </c>
      <c r="B116" s="315" t="s">
        <v>693</v>
      </c>
      <c r="C116" s="203" t="s">
        <v>461</v>
      </c>
      <c r="D116" s="166">
        <v>29</v>
      </c>
      <c r="E116" s="166">
        <v>30</v>
      </c>
      <c r="F116" s="210">
        <v>2</v>
      </c>
      <c r="G116" s="167">
        <v>24</v>
      </c>
      <c r="H116" s="167">
        <v>29</v>
      </c>
      <c r="I116" s="211">
        <v>2</v>
      </c>
      <c r="J116" s="166">
        <v>30</v>
      </c>
      <c r="K116" s="166">
        <v>37</v>
      </c>
      <c r="L116" s="210">
        <v>2</v>
      </c>
      <c r="M116" s="167">
        <v>28</v>
      </c>
      <c r="N116" s="167">
        <v>18</v>
      </c>
      <c r="O116" s="211">
        <v>2</v>
      </c>
      <c r="P116" s="166">
        <v>20</v>
      </c>
      <c r="Q116" s="166">
        <v>26</v>
      </c>
      <c r="R116" s="210">
        <v>2</v>
      </c>
      <c r="S116" s="167">
        <v>30</v>
      </c>
      <c r="T116" s="167">
        <v>36</v>
      </c>
      <c r="U116" s="211">
        <v>2</v>
      </c>
      <c r="V116" s="212">
        <f t="shared" si="9"/>
        <v>161</v>
      </c>
      <c r="W116" s="212">
        <f t="shared" si="7"/>
        <v>176</v>
      </c>
      <c r="X116" s="212">
        <f t="shared" si="8"/>
        <v>12</v>
      </c>
      <c r="Y116" s="213">
        <v>1</v>
      </c>
      <c r="Z116" s="213">
        <v>16</v>
      </c>
    </row>
    <row r="117" spans="1:26" ht="21" x14ac:dyDescent="0.3">
      <c r="A117" s="8">
        <v>11</v>
      </c>
      <c r="B117" s="315" t="s">
        <v>693</v>
      </c>
      <c r="C117" s="203" t="s">
        <v>462</v>
      </c>
      <c r="D117" s="166">
        <v>31</v>
      </c>
      <c r="E117" s="166">
        <v>24</v>
      </c>
      <c r="F117" s="186">
        <v>2</v>
      </c>
      <c r="G117" s="167">
        <v>35</v>
      </c>
      <c r="H117" s="167">
        <v>18</v>
      </c>
      <c r="I117" s="158">
        <v>2</v>
      </c>
      <c r="J117" s="166">
        <v>27</v>
      </c>
      <c r="K117" s="166">
        <v>27</v>
      </c>
      <c r="L117" s="186">
        <v>2</v>
      </c>
      <c r="M117" s="167">
        <v>27</v>
      </c>
      <c r="N117" s="167">
        <v>27</v>
      </c>
      <c r="O117" s="158">
        <v>2</v>
      </c>
      <c r="P117" s="166">
        <v>19</v>
      </c>
      <c r="Q117" s="166">
        <v>29</v>
      </c>
      <c r="R117" s="186">
        <v>2</v>
      </c>
      <c r="S117" s="167">
        <v>31</v>
      </c>
      <c r="T117" s="167">
        <v>27</v>
      </c>
      <c r="U117" s="158">
        <v>2</v>
      </c>
      <c r="V117" s="212">
        <f t="shared" si="9"/>
        <v>170</v>
      </c>
      <c r="W117" s="212">
        <f t="shared" si="7"/>
        <v>152</v>
      </c>
      <c r="X117" s="212">
        <f t="shared" si="8"/>
        <v>12</v>
      </c>
      <c r="Y117" s="170">
        <v>4</v>
      </c>
      <c r="Z117" s="170">
        <v>15</v>
      </c>
    </row>
    <row r="118" spans="1:26" ht="21" x14ac:dyDescent="0.35">
      <c r="A118" s="5">
        <v>1</v>
      </c>
      <c r="B118" s="5" t="s">
        <v>463</v>
      </c>
      <c r="C118" s="235" t="s">
        <v>464</v>
      </c>
      <c r="D118" s="154">
        <v>0</v>
      </c>
      <c r="E118" s="154">
        <v>309</v>
      </c>
      <c r="F118" s="154">
        <v>6</v>
      </c>
      <c r="G118" s="156">
        <v>0</v>
      </c>
      <c r="H118" s="156">
        <v>239</v>
      </c>
      <c r="I118" s="156">
        <v>6</v>
      </c>
      <c r="J118" s="154">
        <v>0</v>
      </c>
      <c r="K118" s="154">
        <v>222</v>
      </c>
      <c r="L118" s="154">
        <v>5</v>
      </c>
      <c r="M118" s="156">
        <v>0</v>
      </c>
      <c r="N118" s="156">
        <v>249</v>
      </c>
      <c r="O118" s="156">
        <v>5</v>
      </c>
      <c r="P118" s="154">
        <v>0</v>
      </c>
      <c r="Q118" s="154">
        <v>240</v>
      </c>
      <c r="R118" s="154">
        <v>6</v>
      </c>
      <c r="S118" s="156">
        <v>0</v>
      </c>
      <c r="T118" s="156">
        <v>191</v>
      </c>
      <c r="U118" s="156">
        <v>5</v>
      </c>
      <c r="V118" s="187">
        <f t="shared" si="9"/>
        <v>0</v>
      </c>
      <c r="W118" s="159">
        <f t="shared" si="7"/>
        <v>1450</v>
      </c>
      <c r="X118" s="159">
        <f t="shared" si="8"/>
        <v>33</v>
      </c>
      <c r="Y118" s="191">
        <v>1</v>
      </c>
      <c r="Z118" s="191">
        <v>37</v>
      </c>
    </row>
    <row r="119" spans="1:26" ht="21" x14ac:dyDescent="0.35">
      <c r="A119" s="5">
        <v>2</v>
      </c>
      <c r="B119" s="5" t="s">
        <v>463</v>
      </c>
      <c r="C119" s="235" t="s">
        <v>465</v>
      </c>
      <c r="D119" s="186">
        <v>0</v>
      </c>
      <c r="E119" s="186">
        <v>204</v>
      </c>
      <c r="F119" s="186">
        <v>5</v>
      </c>
      <c r="G119" s="156">
        <v>0</v>
      </c>
      <c r="H119" s="156">
        <v>185</v>
      </c>
      <c r="I119" s="156">
        <v>4</v>
      </c>
      <c r="J119" s="154">
        <v>0</v>
      </c>
      <c r="K119" s="154">
        <v>139</v>
      </c>
      <c r="L119" s="154">
        <v>4</v>
      </c>
      <c r="M119" s="156">
        <v>0</v>
      </c>
      <c r="N119" s="156">
        <v>162</v>
      </c>
      <c r="O119" s="156">
        <v>4</v>
      </c>
      <c r="P119" s="154">
        <v>0</v>
      </c>
      <c r="Q119" s="154">
        <v>136</v>
      </c>
      <c r="R119" s="154">
        <v>4</v>
      </c>
      <c r="S119" s="156">
        <v>0</v>
      </c>
      <c r="T119" s="156">
        <v>209</v>
      </c>
      <c r="U119" s="156">
        <v>5</v>
      </c>
      <c r="V119" s="187">
        <f t="shared" si="9"/>
        <v>0</v>
      </c>
      <c r="W119" s="159">
        <f t="shared" si="7"/>
        <v>1035</v>
      </c>
      <c r="X119" s="159">
        <f t="shared" si="8"/>
        <v>26</v>
      </c>
      <c r="Y119" s="191">
        <v>3</v>
      </c>
      <c r="Z119" s="191">
        <v>35</v>
      </c>
    </row>
    <row r="120" spans="1:26" ht="21" x14ac:dyDescent="0.35">
      <c r="A120" s="5">
        <v>3</v>
      </c>
      <c r="B120" s="5" t="s">
        <v>463</v>
      </c>
      <c r="C120" s="235" t="s">
        <v>466</v>
      </c>
      <c r="D120" s="186">
        <v>327</v>
      </c>
      <c r="E120" s="186">
        <v>0</v>
      </c>
      <c r="F120" s="186">
        <v>7</v>
      </c>
      <c r="G120" s="158">
        <v>298</v>
      </c>
      <c r="H120" s="158">
        <v>0</v>
      </c>
      <c r="I120" s="158">
        <v>7</v>
      </c>
      <c r="J120" s="186">
        <v>267</v>
      </c>
      <c r="K120" s="186">
        <v>0</v>
      </c>
      <c r="L120" s="186">
        <v>7</v>
      </c>
      <c r="M120" s="158">
        <v>301</v>
      </c>
      <c r="N120" s="158">
        <v>0</v>
      </c>
      <c r="O120" s="158">
        <v>5</v>
      </c>
      <c r="P120" s="186">
        <v>249</v>
      </c>
      <c r="Q120" s="186">
        <v>0</v>
      </c>
      <c r="R120" s="186">
        <v>5</v>
      </c>
      <c r="S120" s="158">
        <v>213</v>
      </c>
      <c r="T120" s="158">
        <v>0</v>
      </c>
      <c r="U120" s="158">
        <v>4</v>
      </c>
      <c r="V120" s="187">
        <f t="shared" si="9"/>
        <v>1655</v>
      </c>
      <c r="W120" s="159">
        <f t="shared" si="7"/>
        <v>0</v>
      </c>
      <c r="X120" s="159">
        <f t="shared" si="8"/>
        <v>35</v>
      </c>
      <c r="Y120" s="160">
        <v>5</v>
      </c>
      <c r="Z120" s="160">
        <v>46</v>
      </c>
    </row>
    <row r="121" spans="1:26" ht="21" x14ac:dyDescent="0.35">
      <c r="A121" s="5">
        <v>4</v>
      </c>
      <c r="B121" s="5" t="s">
        <v>463</v>
      </c>
      <c r="C121" s="235" t="s">
        <v>467</v>
      </c>
      <c r="D121" s="154">
        <v>130</v>
      </c>
      <c r="E121" s="154">
        <v>84</v>
      </c>
      <c r="F121" s="154">
        <v>4</v>
      </c>
      <c r="G121" s="156">
        <v>119</v>
      </c>
      <c r="H121" s="156">
        <v>75</v>
      </c>
      <c r="I121" s="156">
        <v>4</v>
      </c>
      <c r="J121" s="154">
        <v>119</v>
      </c>
      <c r="K121" s="154">
        <v>68</v>
      </c>
      <c r="L121" s="154">
        <v>4</v>
      </c>
      <c r="M121" s="156">
        <v>104</v>
      </c>
      <c r="N121" s="156">
        <v>75</v>
      </c>
      <c r="O121" s="156">
        <v>5</v>
      </c>
      <c r="P121" s="154">
        <v>63</v>
      </c>
      <c r="Q121" s="154">
        <v>71</v>
      </c>
      <c r="R121" s="154">
        <v>5</v>
      </c>
      <c r="S121" s="156">
        <v>60</v>
      </c>
      <c r="T121" s="156">
        <v>58</v>
      </c>
      <c r="U121" s="156">
        <v>5</v>
      </c>
      <c r="V121" s="187">
        <f t="shared" si="9"/>
        <v>595</v>
      </c>
      <c r="W121" s="159">
        <f t="shared" si="7"/>
        <v>431</v>
      </c>
      <c r="X121" s="159">
        <f t="shared" si="8"/>
        <v>27</v>
      </c>
      <c r="Y121" s="191">
        <v>7</v>
      </c>
      <c r="Z121" s="191">
        <v>35</v>
      </c>
    </row>
    <row r="122" spans="1:26" ht="21" x14ac:dyDescent="0.35">
      <c r="A122" s="5">
        <v>5</v>
      </c>
      <c r="B122" s="5" t="s">
        <v>463</v>
      </c>
      <c r="C122" s="235" t="s">
        <v>468</v>
      </c>
      <c r="D122" s="188">
        <v>216</v>
      </c>
      <c r="E122" s="188">
        <v>0</v>
      </c>
      <c r="F122" s="188">
        <v>5</v>
      </c>
      <c r="G122" s="189">
        <v>216</v>
      </c>
      <c r="H122" s="189">
        <v>0</v>
      </c>
      <c r="I122" s="189">
        <v>5</v>
      </c>
      <c r="J122" s="188">
        <v>234</v>
      </c>
      <c r="K122" s="188">
        <v>0</v>
      </c>
      <c r="L122" s="188">
        <v>6</v>
      </c>
      <c r="M122" s="189">
        <v>230</v>
      </c>
      <c r="N122" s="189">
        <v>0</v>
      </c>
      <c r="O122" s="189">
        <v>5</v>
      </c>
      <c r="P122" s="188">
        <v>210</v>
      </c>
      <c r="Q122" s="188">
        <v>0</v>
      </c>
      <c r="R122" s="188">
        <v>4</v>
      </c>
      <c r="S122" s="189">
        <v>172</v>
      </c>
      <c r="T122" s="189">
        <v>0</v>
      </c>
      <c r="U122" s="189">
        <v>4</v>
      </c>
      <c r="V122" s="187">
        <f t="shared" si="9"/>
        <v>1278</v>
      </c>
      <c r="W122" s="159">
        <f t="shared" si="7"/>
        <v>0</v>
      </c>
      <c r="X122" s="159">
        <f t="shared" si="8"/>
        <v>29</v>
      </c>
      <c r="Y122" s="184">
        <v>6</v>
      </c>
      <c r="Z122" s="184">
        <v>36</v>
      </c>
    </row>
    <row r="123" spans="1:26" ht="21" x14ac:dyDescent="0.35">
      <c r="A123" s="5">
        <v>6</v>
      </c>
      <c r="B123" s="5" t="s">
        <v>463</v>
      </c>
      <c r="C123" s="235" t="s">
        <v>469</v>
      </c>
      <c r="D123" s="186">
        <v>0</v>
      </c>
      <c r="E123" s="186">
        <v>159</v>
      </c>
      <c r="F123" s="186">
        <v>3</v>
      </c>
      <c r="G123" s="158">
        <v>0</v>
      </c>
      <c r="H123" s="158">
        <v>116</v>
      </c>
      <c r="I123" s="158">
        <v>3</v>
      </c>
      <c r="J123" s="186">
        <v>0</v>
      </c>
      <c r="K123" s="186">
        <v>81</v>
      </c>
      <c r="L123" s="186">
        <v>2</v>
      </c>
      <c r="M123" s="158">
        <v>0</v>
      </c>
      <c r="N123" s="158">
        <v>51</v>
      </c>
      <c r="O123" s="158">
        <v>1</v>
      </c>
      <c r="P123" s="186">
        <v>0</v>
      </c>
      <c r="Q123" s="186">
        <v>47</v>
      </c>
      <c r="R123" s="186">
        <v>1</v>
      </c>
      <c r="S123" s="158">
        <v>0</v>
      </c>
      <c r="T123" s="158">
        <v>36</v>
      </c>
      <c r="U123" s="158">
        <v>1</v>
      </c>
      <c r="V123" s="187">
        <f t="shared" si="9"/>
        <v>0</v>
      </c>
      <c r="W123" s="159">
        <f t="shared" si="7"/>
        <v>490</v>
      </c>
      <c r="X123" s="159">
        <f t="shared" si="8"/>
        <v>11</v>
      </c>
      <c r="Y123" s="160">
        <v>1</v>
      </c>
      <c r="Z123" s="160">
        <v>28</v>
      </c>
    </row>
    <row r="124" spans="1:26" ht="21" x14ac:dyDescent="0.35">
      <c r="A124" s="5">
        <v>7</v>
      </c>
      <c r="B124" s="5" t="s">
        <v>463</v>
      </c>
      <c r="C124" s="235" t="s">
        <v>470</v>
      </c>
      <c r="D124" s="154">
        <v>131</v>
      </c>
      <c r="E124" s="154">
        <v>119</v>
      </c>
      <c r="F124" s="154">
        <v>5</v>
      </c>
      <c r="G124" s="156">
        <v>135</v>
      </c>
      <c r="H124" s="156">
        <v>136</v>
      </c>
      <c r="I124" s="156">
        <v>5</v>
      </c>
      <c r="J124" s="154">
        <v>120</v>
      </c>
      <c r="K124" s="154">
        <v>138</v>
      </c>
      <c r="L124" s="154">
        <v>4</v>
      </c>
      <c r="M124" s="156">
        <v>93</v>
      </c>
      <c r="N124" s="156">
        <v>132</v>
      </c>
      <c r="O124" s="156">
        <v>4</v>
      </c>
      <c r="P124" s="154">
        <v>97</v>
      </c>
      <c r="Q124" s="154">
        <v>141</v>
      </c>
      <c r="R124" s="154">
        <v>2</v>
      </c>
      <c r="S124" s="156">
        <v>42</v>
      </c>
      <c r="T124" s="156">
        <v>117</v>
      </c>
      <c r="U124" s="156">
        <v>2</v>
      </c>
      <c r="V124" s="187">
        <f t="shared" si="9"/>
        <v>618</v>
      </c>
      <c r="W124" s="159">
        <f t="shared" si="7"/>
        <v>783</v>
      </c>
      <c r="X124" s="159">
        <f t="shared" si="8"/>
        <v>22</v>
      </c>
      <c r="Y124" s="191">
        <v>1</v>
      </c>
      <c r="Z124" s="191">
        <v>38</v>
      </c>
    </row>
    <row r="125" spans="1:26" ht="21" x14ac:dyDescent="0.35">
      <c r="A125" s="5">
        <v>8</v>
      </c>
      <c r="B125" s="5" t="s">
        <v>463</v>
      </c>
      <c r="C125" s="235" t="s">
        <v>471</v>
      </c>
      <c r="D125" s="154">
        <v>150</v>
      </c>
      <c r="E125" s="154">
        <v>152</v>
      </c>
      <c r="F125" s="154">
        <v>5</v>
      </c>
      <c r="G125" s="156">
        <v>154</v>
      </c>
      <c r="H125" s="156">
        <v>155</v>
      </c>
      <c r="I125" s="156">
        <v>5</v>
      </c>
      <c r="J125" s="154">
        <v>145</v>
      </c>
      <c r="K125" s="154">
        <v>148</v>
      </c>
      <c r="L125" s="154">
        <v>4</v>
      </c>
      <c r="M125" s="156">
        <v>111</v>
      </c>
      <c r="N125" s="156">
        <v>111</v>
      </c>
      <c r="O125" s="156">
        <v>4</v>
      </c>
      <c r="P125" s="154">
        <v>90</v>
      </c>
      <c r="Q125" s="154">
        <v>95</v>
      </c>
      <c r="R125" s="154">
        <v>3</v>
      </c>
      <c r="S125" s="156">
        <v>75</v>
      </c>
      <c r="T125" s="156">
        <v>72</v>
      </c>
      <c r="U125" s="156">
        <v>2</v>
      </c>
      <c r="V125" s="187">
        <f t="shared" si="9"/>
        <v>725</v>
      </c>
      <c r="W125" s="159">
        <f t="shared" si="7"/>
        <v>733</v>
      </c>
      <c r="X125" s="159">
        <f t="shared" si="8"/>
        <v>23</v>
      </c>
      <c r="Y125" s="191">
        <v>3</v>
      </c>
      <c r="Z125" s="191">
        <v>26</v>
      </c>
    </row>
    <row r="126" spans="1:26" ht="21" x14ac:dyDescent="0.35">
      <c r="A126" s="5">
        <v>1</v>
      </c>
      <c r="B126" s="5" t="s">
        <v>729</v>
      </c>
      <c r="C126" s="235" t="s">
        <v>473</v>
      </c>
      <c r="D126" s="154">
        <v>45</v>
      </c>
      <c r="E126" s="154">
        <v>49</v>
      </c>
      <c r="F126" s="154">
        <v>2</v>
      </c>
      <c r="G126" s="156">
        <v>44</v>
      </c>
      <c r="H126" s="156">
        <v>46</v>
      </c>
      <c r="I126" s="156">
        <v>2</v>
      </c>
      <c r="J126" s="154">
        <v>32</v>
      </c>
      <c r="K126" s="154">
        <v>31</v>
      </c>
      <c r="L126" s="154">
        <v>2</v>
      </c>
      <c r="M126" s="156">
        <v>25</v>
      </c>
      <c r="N126" s="156">
        <v>37</v>
      </c>
      <c r="O126" s="156">
        <v>1</v>
      </c>
      <c r="P126" s="154">
        <v>22</v>
      </c>
      <c r="Q126" s="154">
        <v>37</v>
      </c>
      <c r="R126" s="154">
        <v>1</v>
      </c>
      <c r="S126" s="156">
        <v>25</v>
      </c>
      <c r="T126" s="156">
        <v>41</v>
      </c>
      <c r="U126" s="156">
        <v>2</v>
      </c>
      <c r="V126" s="159">
        <f t="shared" si="9"/>
        <v>193</v>
      </c>
      <c r="W126" s="159">
        <f t="shared" si="7"/>
        <v>241</v>
      </c>
      <c r="X126" s="159">
        <f t="shared" si="8"/>
        <v>10</v>
      </c>
      <c r="Y126" s="191">
        <v>3</v>
      </c>
      <c r="Z126" s="191">
        <v>16</v>
      </c>
    </row>
    <row r="127" spans="1:26" ht="21" x14ac:dyDescent="0.35">
      <c r="A127" s="5">
        <v>2</v>
      </c>
      <c r="B127" s="5" t="s">
        <v>729</v>
      </c>
      <c r="C127" s="235" t="s">
        <v>474</v>
      </c>
      <c r="D127" s="154">
        <v>28</v>
      </c>
      <c r="E127" s="154">
        <v>20</v>
      </c>
      <c r="F127" s="154">
        <v>2</v>
      </c>
      <c r="G127" s="156">
        <v>27</v>
      </c>
      <c r="H127" s="156">
        <v>21</v>
      </c>
      <c r="I127" s="156">
        <v>1</v>
      </c>
      <c r="J127" s="154">
        <v>21</v>
      </c>
      <c r="K127" s="154">
        <v>15</v>
      </c>
      <c r="L127" s="154">
        <v>2</v>
      </c>
      <c r="M127" s="156">
        <v>18</v>
      </c>
      <c r="N127" s="156">
        <v>11</v>
      </c>
      <c r="O127" s="156">
        <v>2</v>
      </c>
      <c r="P127" s="154">
        <v>21</v>
      </c>
      <c r="Q127" s="154">
        <v>12</v>
      </c>
      <c r="R127" s="154">
        <v>2</v>
      </c>
      <c r="S127" s="156">
        <v>23</v>
      </c>
      <c r="T127" s="156">
        <v>20</v>
      </c>
      <c r="U127" s="156">
        <v>1</v>
      </c>
      <c r="V127" s="159">
        <f t="shared" si="9"/>
        <v>138</v>
      </c>
      <c r="W127" s="159">
        <f t="shared" si="7"/>
        <v>99</v>
      </c>
      <c r="X127" s="159">
        <f t="shared" si="8"/>
        <v>10</v>
      </c>
      <c r="Y127" s="191">
        <v>1</v>
      </c>
      <c r="Z127" s="191">
        <v>14</v>
      </c>
    </row>
    <row r="128" spans="1:26" ht="21" x14ac:dyDescent="0.35">
      <c r="A128" s="5">
        <v>3</v>
      </c>
      <c r="B128" s="5" t="s">
        <v>729</v>
      </c>
      <c r="C128" s="189" t="s">
        <v>475</v>
      </c>
      <c r="D128" s="154">
        <v>54</v>
      </c>
      <c r="E128" s="154">
        <v>33</v>
      </c>
      <c r="F128" s="154">
        <v>1</v>
      </c>
      <c r="G128" s="156">
        <v>50</v>
      </c>
      <c r="H128" s="156">
        <v>36</v>
      </c>
      <c r="I128" s="156">
        <v>2</v>
      </c>
      <c r="J128" s="154">
        <v>41</v>
      </c>
      <c r="K128" s="154">
        <v>38</v>
      </c>
      <c r="L128" s="154">
        <v>1</v>
      </c>
      <c r="M128" s="156">
        <v>34</v>
      </c>
      <c r="N128" s="156">
        <v>28</v>
      </c>
      <c r="O128" s="156">
        <v>1</v>
      </c>
      <c r="P128" s="154">
        <v>38</v>
      </c>
      <c r="Q128" s="154">
        <v>35</v>
      </c>
      <c r="R128" s="154">
        <v>1</v>
      </c>
      <c r="S128" s="156">
        <v>26</v>
      </c>
      <c r="T128" s="156">
        <v>32</v>
      </c>
      <c r="U128" s="156">
        <v>2</v>
      </c>
      <c r="V128" s="159">
        <f t="shared" si="9"/>
        <v>243</v>
      </c>
      <c r="W128" s="159">
        <f t="shared" si="7"/>
        <v>202</v>
      </c>
      <c r="X128" s="159">
        <f t="shared" si="8"/>
        <v>8</v>
      </c>
      <c r="Y128" s="160">
        <v>0</v>
      </c>
      <c r="Z128" s="160">
        <v>17</v>
      </c>
    </row>
    <row r="129" spans="1:26" ht="21" x14ac:dyDescent="0.35">
      <c r="A129" s="5">
        <v>4</v>
      </c>
      <c r="B129" s="5" t="s">
        <v>729</v>
      </c>
      <c r="C129" s="235" t="s">
        <v>476</v>
      </c>
      <c r="D129" s="186">
        <v>13</v>
      </c>
      <c r="E129" s="186">
        <v>16</v>
      </c>
      <c r="F129" s="186">
        <v>1</v>
      </c>
      <c r="G129" s="158">
        <v>27</v>
      </c>
      <c r="H129" s="158">
        <v>10</v>
      </c>
      <c r="I129" s="158">
        <v>1</v>
      </c>
      <c r="J129" s="186">
        <v>7</v>
      </c>
      <c r="K129" s="186">
        <v>12</v>
      </c>
      <c r="L129" s="186">
        <v>1</v>
      </c>
      <c r="M129" s="158">
        <v>9</v>
      </c>
      <c r="N129" s="158">
        <v>14</v>
      </c>
      <c r="O129" s="158">
        <v>1</v>
      </c>
      <c r="P129" s="186">
        <v>4</v>
      </c>
      <c r="Q129" s="186">
        <v>11</v>
      </c>
      <c r="R129" s="186">
        <v>1</v>
      </c>
      <c r="S129" s="158">
        <v>7</v>
      </c>
      <c r="T129" s="158">
        <v>20</v>
      </c>
      <c r="U129" s="158">
        <v>1</v>
      </c>
      <c r="V129" s="159">
        <f t="shared" si="9"/>
        <v>67</v>
      </c>
      <c r="W129" s="159">
        <f t="shared" si="7"/>
        <v>83</v>
      </c>
      <c r="X129" s="159">
        <f t="shared" si="8"/>
        <v>6</v>
      </c>
      <c r="Y129" s="160">
        <v>3</v>
      </c>
      <c r="Z129" s="160">
        <v>9</v>
      </c>
    </row>
    <row r="130" spans="1:26" ht="21" x14ac:dyDescent="0.35">
      <c r="A130" s="5">
        <v>5</v>
      </c>
      <c r="B130" s="5" t="s">
        <v>729</v>
      </c>
      <c r="C130" s="235" t="s">
        <v>477</v>
      </c>
      <c r="D130" s="186">
        <v>36</v>
      </c>
      <c r="E130" s="186">
        <v>24</v>
      </c>
      <c r="F130" s="186">
        <v>2</v>
      </c>
      <c r="G130" s="158">
        <v>30</v>
      </c>
      <c r="H130" s="158">
        <v>27</v>
      </c>
      <c r="I130" s="158">
        <v>2</v>
      </c>
      <c r="J130" s="186">
        <v>19</v>
      </c>
      <c r="K130" s="186">
        <v>21</v>
      </c>
      <c r="L130" s="186">
        <v>1</v>
      </c>
      <c r="M130" s="158">
        <v>10</v>
      </c>
      <c r="N130" s="158">
        <v>18</v>
      </c>
      <c r="O130" s="158">
        <v>1</v>
      </c>
      <c r="P130" s="186">
        <v>9</v>
      </c>
      <c r="Q130" s="186">
        <v>11</v>
      </c>
      <c r="R130" s="186">
        <v>1</v>
      </c>
      <c r="S130" s="158">
        <v>7</v>
      </c>
      <c r="T130" s="158">
        <v>17</v>
      </c>
      <c r="U130" s="158">
        <v>1</v>
      </c>
      <c r="V130" s="159">
        <f t="shared" si="9"/>
        <v>111</v>
      </c>
      <c r="W130" s="159">
        <f t="shared" si="7"/>
        <v>118</v>
      </c>
      <c r="X130" s="159">
        <f t="shared" si="8"/>
        <v>8</v>
      </c>
      <c r="Y130" s="160">
        <v>2</v>
      </c>
      <c r="Z130" s="160">
        <v>8</v>
      </c>
    </row>
    <row r="131" spans="1:26" ht="21" x14ac:dyDescent="0.35">
      <c r="A131" s="5">
        <v>6</v>
      </c>
      <c r="B131" s="5" t="s">
        <v>729</v>
      </c>
      <c r="C131" s="235" t="s">
        <v>478</v>
      </c>
      <c r="D131" s="154">
        <v>5</v>
      </c>
      <c r="E131" s="154">
        <v>5</v>
      </c>
      <c r="F131" s="154">
        <v>1</v>
      </c>
      <c r="G131" s="156">
        <v>2</v>
      </c>
      <c r="H131" s="156">
        <v>2</v>
      </c>
      <c r="I131" s="156">
        <v>1</v>
      </c>
      <c r="J131" s="154">
        <v>0</v>
      </c>
      <c r="K131" s="154">
        <v>0</v>
      </c>
      <c r="L131" s="154">
        <v>1</v>
      </c>
      <c r="M131" s="156">
        <v>3</v>
      </c>
      <c r="N131" s="156">
        <v>2</v>
      </c>
      <c r="O131" s="156">
        <v>1</v>
      </c>
      <c r="P131" s="154">
        <v>1</v>
      </c>
      <c r="Q131" s="154">
        <v>2</v>
      </c>
      <c r="R131" s="154">
        <v>1</v>
      </c>
      <c r="S131" s="156">
        <v>0</v>
      </c>
      <c r="T131" s="156">
        <v>0</v>
      </c>
      <c r="U131" s="156">
        <v>0</v>
      </c>
      <c r="V131" s="159">
        <f t="shared" si="9"/>
        <v>11</v>
      </c>
      <c r="W131" s="159">
        <f t="shared" si="7"/>
        <v>11</v>
      </c>
      <c r="X131" s="159">
        <f t="shared" si="8"/>
        <v>5</v>
      </c>
      <c r="Y131" s="191">
        <v>0</v>
      </c>
      <c r="Z131" s="191">
        <v>6</v>
      </c>
    </row>
    <row r="132" spans="1:26" ht="21" x14ac:dyDescent="0.35">
      <c r="A132" s="5">
        <v>7</v>
      </c>
      <c r="B132" s="5" t="s">
        <v>729</v>
      </c>
      <c r="C132" s="235" t="s">
        <v>479</v>
      </c>
      <c r="D132" s="154">
        <v>21</v>
      </c>
      <c r="E132" s="154">
        <v>25</v>
      </c>
      <c r="F132" s="154">
        <v>1</v>
      </c>
      <c r="G132" s="156">
        <v>21</v>
      </c>
      <c r="H132" s="156">
        <v>14</v>
      </c>
      <c r="I132" s="156">
        <v>1</v>
      </c>
      <c r="J132" s="154">
        <v>19</v>
      </c>
      <c r="K132" s="154">
        <v>23</v>
      </c>
      <c r="L132" s="154">
        <v>1</v>
      </c>
      <c r="M132" s="156">
        <v>16</v>
      </c>
      <c r="N132" s="156">
        <v>20</v>
      </c>
      <c r="O132" s="156">
        <v>1</v>
      </c>
      <c r="P132" s="154">
        <v>5</v>
      </c>
      <c r="Q132" s="154">
        <v>10</v>
      </c>
      <c r="R132" s="154">
        <v>1</v>
      </c>
      <c r="S132" s="156">
        <v>15</v>
      </c>
      <c r="T132" s="156">
        <v>21</v>
      </c>
      <c r="U132" s="156">
        <v>6</v>
      </c>
      <c r="V132" s="159">
        <f t="shared" si="9"/>
        <v>97</v>
      </c>
      <c r="W132" s="159">
        <f t="shared" si="7"/>
        <v>113</v>
      </c>
      <c r="X132" s="159">
        <f t="shared" si="8"/>
        <v>11</v>
      </c>
      <c r="Y132" s="191">
        <v>3</v>
      </c>
      <c r="Z132" s="191">
        <v>6</v>
      </c>
    </row>
    <row r="133" spans="1:26" ht="21" x14ac:dyDescent="0.35">
      <c r="A133" s="5">
        <v>8</v>
      </c>
      <c r="B133" s="5" t="s">
        <v>729</v>
      </c>
      <c r="C133" s="236" t="s">
        <v>480</v>
      </c>
      <c r="D133" s="155">
        <v>7</v>
      </c>
      <c r="E133" s="155">
        <v>3</v>
      </c>
      <c r="F133" s="155">
        <v>1</v>
      </c>
      <c r="G133" s="157">
        <v>5</v>
      </c>
      <c r="H133" s="157">
        <v>5</v>
      </c>
      <c r="I133" s="157">
        <v>1</v>
      </c>
      <c r="J133" s="155">
        <v>10</v>
      </c>
      <c r="K133" s="155">
        <v>2</v>
      </c>
      <c r="L133" s="155">
        <v>1</v>
      </c>
      <c r="M133" s="157">
        <v>5</v>
      </c>
      <c r="N133" s="157">
        <v>2</v>
      </c>
      <c r="O133" s="157">
        <v>1</v>
      </c>
      <c r="P133" s="155">
        <v>5</v>
      </c>
      <c r="Q133" s="155">
        <v>7</v>
      </c>
      <c r="R133" s="155">
        <v>1</v>
      </c>
      <c r="S133" s="157">
        <v>5</v>
      </c>
      <c r="T133" s="157">
        <v>8</v>
      </c>
      <c r="U133" s="157">
        <v>1</v>
      </c>
      <c r="V133" s="159">
        <f t="shared" si="9"/>
        <v>37</v>
      </c>
      <c r="W133" s="159">
        <f t="shared" si="7"/>
        <v>27</v>
      </c>
      <c r="X133" s="159">
        <f t="shared" si="8"/>
        <v>6</v>
      </c>
      <c r="Y133" s="204">
        <v>1</v>
      </c>
      <c r="Z133" s="204">
        <v>12</v>
      </c>
    </row>
    <row r="134" spans="1:26" ht="21" x14ac:dyDescent="0.35">
      <c r="A134" s="5">
        <v>9</v>
      </c>
      <c r="B134" s="5" t="s">
        <v>729</v>
      </c>
      <c r="C134" s="235" t="s">
        <v>481</v>
      </c>
      <c r="D134" s="154">
        <v>37</v>
      </c>
      <c r="E134" s="154">
        <v>19</v>
      </c>
      <c r="F134" s="154">
        <v>2</v>
      </c>
      <c r="G134" s="156">
        <v>31</v>
      </c>
      <c r="H134" s="156">
        <v>22</v>
      </c>
      <c r="I134" s="156">
        <v>2</v>
      </c>
      <c r="J134" s="154">
        <v>26</v>
      </c>
      <c r="K134" s="154">
        <v>24</v>
      </c>
      <c r="L134" s="154">
        <v>1</v>
      </c>
      <c r="M134" s="156">
        <v>26</v>
      </c>
      <c r="N134" s="156">
        <v>31</v>
      </c>
      <c r="O134" s="156">
        <v>2</v>
      </c>
      <c r="P134" s="154">
        <v>16</v>
      </c>
      <c r="Q134" s="154">
        <v>23</v>
      </c>
      <c r="R134" s="154">
        <v>1</v>
      </c>
      <c r="S134" s="156">
        <v>32</v>
      </c>
      <c r="T134" s="156">
        <v>27</v>
      </c>
      <c r="U134" s="156">
        <v>1</v>
      </c>
      <c r="V134" s="159">
        <f t="shared" si="9"/>
        <v>168</v>
      </c>
      <c r="W134" s="159">
        <f t="shared" si="7"/>
        <v>146</v>
      </c>
      <c r="X134" s="159">
        <f t="shared" si="8"/>
        <v>9</v>
      </c>
      <c r="Y134" s="191">
        <v>2</v>
      </c>
      <c r="Z134" s="191">
        <v>11</v>
      </c>
    </row>
    <row r="135" spans="1:26" ht="21" x14ac:dyDescent="0.35">
      <c r="A135" s="5">
        <v>10</v>
      </c>
      <c r="B135" s="5" t="s">
        <v>729</v>
      </c>
      <c r="C135" s="235" t="s">
        <v>482</v>
      </c>
      <c r="D135" s="155">
        <v>18</v>
      </c>
      <c r="E135" s="155">
        <v>14</v>
      </c>
      <c r="F135" s="155">
        <v>1</v>
      </c>
      <c r="G135" s="157">
        <v>12</v>
      </c>
      <c r="H135" s="157">
        <v>15</v>
      </c>
      <c r="I135" s="157">
        <v>1</v>
      </c>
      <c r="J135" s="155">
        <v>18</v>
      </c>
      <c r="K135" s="155">
        <v>18</v>
      </c>
      <c r="L135" s="155">
        <v>1</v>
      </c>
      <c r="M135" s="157">
        <v>11</v>
      </c>
      <c r="N135" s="157">
        <v>10</v>
      </c>
      <c r="O135" s="157">
        <v>1</v>
      </c>
      <c r="P135" s="155">
        <v>6</v>
      </c>
      <c r="Q135" s="155">
        <v>14</v>
      </c>
      <c r="R135" s="155">
        <v>1</v>
      </c>
      <c r="S135" s="157">
        <v>10</v>
      </c>
      <c r="T135" s="157">
        <v>12</v>
      </c>
      <c r="U135" s="157">
        <v>1</v>
      </c>
      <c r="V135" s="159">
        <f t="shared" si="9"/>
        <v>75</v>
      </c>
      <c r="W135" s="159">
        <f t="shared" si="7"/>
        <v>83</v>
      </c>
      <c r="X135" s="159">
        <f t="shared" si="8"/>
        <v>6</v>
      </c>
      <c r="Y135" s="204">
        <v>2</v>
      </c>
      <c r="Z135" s="204">
        <v>9</v>
      </c>
    </row>
    <row r="136" spans="1:26" ht="21" x14ac:dyDescent="0.35">
      <c r="A136" s="5">
        <v>11</v>
      </c>
      <c r="B136" s="5" t="s">
        <v>729</v>
      </c>
      <c r="C136" s="235" t="s">
        <v>483</v>
      </c>
      <c r="D136" s="154">
        <v>81</v>
      </c>
      <c r="E136" s="154">
        <v>93</v>
      </c>
      <c r="F136" s="154">
        <v>4</v>
      </c>
      <c r="G136" s="156">
        <v>69</v>
      </c>
      <c r="H136" s="156">
        <v>70</v>
      </c>
      <c r="I136" s="156">
        <v>4</v>
      </c>
      <c r="J136" s="154">
        <v>47</v>
      </c>
      <c r="K136" s="154">
        <v>79</v>
      </c>
      <c r="L136" s="154">
        <v>4</v>
      </c>
      <c r="M136" s="156">
        <v>37</v>
      </c>
      <c r="N136" s="156">
        <v>77</v>
      </c>
      <c r="O136" s="156">
        <v>3</v>
      </c>
      <c r="P136" s="154">
        <v>47</v>
      </c>
      <c r="Q136" s="154">
        <v>73</v>
      </c>
      <c r="R136" s="154">
        <v>3</v>
      </c>
      <c r="S136" s="156">
        <v>26</v>
      </c>
      <c r="T136" s="156">
        <v>45</v>
      </c>
      <c r="U136" s="156">
        <v>2</v>
      </c>
      <c r="V136" s="159">
        <f t="shared" si="9"/>
        <v>307</v>
      </c>
      <c r="W136" s="159">
        <f t="shared" si="7"/>
        <v>437</v>
      </c>
      <c r="X136" s="159">
        <f t="shared" si="8"/>
        <v>20</v>
      </c>
      <c r="Y136" s="191">
        <v>0</v>
      </c>
      <c r="Z136" s="191">
        <v>19</v>
      </c>
    </row>
    <row r="137" spans="1:26" ht="21" x14ac:dyDescent="0.35">
      <c r="A137" s="5">
        <v>12</v>
      </c>
      <c r="B137" s="5" t="s">
        <v>729</v>
      </c>
      <c r="C137" s="235" t="s">
        <v>484</v>
      </c>
      <c r="D137" s="227">
        <v>11</v>
      </c>
      <c r="E137" s="227">
        <v>10</v>
      </c>
      <c r="F137" s="227">
        <v>1</v>
      </c>
      <c r="G137" s="228">
        <v>17</v>
      </c>
      <c r="H137" s="228">
        <v>4</v>
      </c>
      <c r="I137" s="228">
        <v>1</v>
      </c>
      <c r="J137" s="227">
        <v>7</v>
      </c>
      <c r="K137" s="227">
        <v>8</v>
      </c>
      <c r="L137" s="227">
        <v>1</v>
      </c>
      <c r="M137" s="228">
        <v>5</v>
      </c>
      <c r="N137" s="228">
        <v>3</v>
      </c>
      <c r="O137" s="228">
        <v>1</v>
      </c>
      <c r="P137" s="227">
        <v>6</v>
      </c>
      <c r="Q137" s="227">
        <v>8</v>
      </c>
      <c r="R137" s="227">
        <v>1</v>
      </c>
      <c r="S137" s="228">
        <v>8</v>
      </c>
      <c r="T137" s="228">
        <v>7</v>
      </c>
      <c r="U137" s="228">
        <v>1</v>
      </c>
      <c r="V137" s="159">
        <f t="shared" si="9"/>
        <v>54</v>
      </c>
      <c r="W137" s="159">
        <f t="shared" si="7"/>
        <v>40</v>
      </c>
      <c r="X137" s="159">
        <f t="shared" si="8"/>
        <v>6</v>
      </c>
      <c r="Y137" s="196">
        <v>5</v>
      </c>
      <c r="Z137" s="196">
        <v>4</v>
      </c>
    </row>
    <row r="138" spans="1:26" ht="21" x14ac:dyDescent="0.35">
      <c r="A138" s="5">
        <v>13</v>
      </c>
      <c r="B138" s="5" t="s">
        <v>729</v>
      </c>
      <c r="C138" s="235" t="s">
        <v>485</v>
      </c>
      <c r="D138" s="154">
        <v>27</v>
      </c>
      <c r="E138" s="154">
        <v>16</v>
      </c>
      <c r="F138" s="154">
        <v>2</v>
      </c>
      <c r="G138" s="156">
        <v>30</v>
      </c>
      <c r="H138" s="156">
        <v>18</v>
      </c>
      <c r="I138" s="156">
        <v>2</v>
      </c>
      <c r="J138" s="154">
        <v>35</v>
      </c>
      <c r="K138" s="154">
        <v>32</v>
      </c>
      <c r="L138" s="154">
        <v>2</v>
      </c>
      <c r="M138" s="156">
        <v>31</v>
      </c>
      <c r="N138" s="156">
        <v>18</v>
      </c>
      <c r="O138" s="156">
        <v>2</v>
      </c>
      <c r="P138" s="154">
        <v>32</v>
      </c>
      <c r="Q138" s="154">
        <v>24</v>
      </c>
      <c r="R138" s="154">
        <v>2</v>
      </c>
      <c r="S138" s="156">
        <v>29</v>
      </c>
      <c r="T138" s="156">
        <v>16</v>
      </c>
      <c r="U138" s="156">
        <v>2</v>
      </c>
      <c r="V138" s="159">
        <f t="shared" si="9"/>
        <v>184</v>
      </c>
      <c r="W138" s="159">
        <f t="shared" si="7"/>
        <v>124</v>
      </c>
      <c r="X138" s="159">
        <f t="shared" si="8"/>
        <v>12</v>
      </c>
      <c r="Y138" s="191">
        <v>4</v>
      </c>
      <c r="Z138" s="191">
        <v>10</v>
      </c>
    </row>
    <row r="139" spans="1:26" ht="21" x14ac:dyDescent="0.35">
      <c r="A139" s="5">
        <v>14</v>
      </c>
      <c r="B139" s="5" t="s">
        <v>729</v>
      </c>
      <c r="C139" s="235" t="s">
        <v>486</v>
      </c>
      <c r="D139" s="237">
        <v>24</v>
      </c>
      <c r="E139" s="237">
        <v>41</v>
      </c>
      <c r="F139" s="237">
        <v>2</v>
      </c>
      <c r="G139" s="238">
        <v>21</v>
      </c>
      <c r="H139" s="238">
        <v>34</v>
      </c>
      <c r="I139" s="238">
        <v>2</v>
      </c>
      <c r="J139" s="237">
        <v>27</v>
      </c>
      <c r="K139" s="237">
        <v>43</v>
      </c>
      <c r="L139" s="237">
        <v>2</v>
      </c>
      <c r="M139" s="238">
        <v>25</v>
      </c>
      <c r="N139" s="238">
        <v>34</v>
      </c>
      <c r="O139" s="238">
        <v>2</v>
      </c>
      <c r="P139" s="237">
        <v>16</v>
      </c>
      <c r="Q139" s="237">
        <v>28</v>
      </c>
      <c r="R139" s="237">
        <v>2</v>
      </c>
      <c r="S139" s="238">
        <v>26</v>
      </c>
      <c r="T139" s="238">
        <v>31</v>
      </c>
      <c r="U139" s="238">
        <v>2</v>
      </c>
      <c r="V139" s="159">
        <f t="shared" si="9"/>
        <v>139</v>
      </c>
      <c r="W139" s="159">
        <f t="shared" si="7"/>
        <v>211</v>
      </c>
      <c r="X139" s="159">
        <f t="shared" si="8"/>
        <v>12</v>
      </c>
      <c r="Y139" s="191">
        <v>1</v>
      </c>
      <c r="Z139" s="191">
        <v>6</v>
      </c>
    </row>
    <row r="140" spans="1:26" ht="21" x14ac:dyDescent="0.35">
      <c r="A140" s="5">
        <v>15</v>
      </c>
      <c r="B140" s="5" t="s">
        <v>729</v>
      </c>
      <c r="C140" s="235" t="s">
        <v>487</v>
      </c>
      <c r="D140" s="154">
        <v>66</v>
      </c>
      <c r="E140" s="154">
        <v>45</v>
      </c>
      <c r="F140" s="154">
        <v>2</v>
      </c>
      <c r="G140" s="156">
        <v>68</v>
      </c>
      <c r="H140" s="156">
        <v>38</v>
      </c>
      <c r="I140" s="156">
        <v>3</v>
      </c>
      <c r="J140" s="154">
        <v>51</v>
      </c>
      <c r="K140" s="154">
        <v>37</v>
      </c>
      <c r="L140" s="154">
        <v>2</v>
      </c>
      <c r="M140" s="156">
        <v>42</v>
      </c>
      <c r="N140" s="156">
        <v>30</v>
      </c>
      <c r="O140" s="156">
        <v>2</v>
      </c>
      <c r="P140" s="154">
        <v>36</v>
      </c>
      <c r="Q140" s="154">
        <v>19</v>
      </c>
      <c r="R140" s="154">
        <v>2</v>
      </c>
      <c r="S140" s="156">
        <v>29</v>
      </c>
      <c r="T140" s="156">
        <v>16</v>
      </c>
      <c r="U140" s="156">
        <v>2</v>
      </c>
      <c r="V140" s="159">
        <f t="shared" si="9"/>
        <v>292</v>
      </c>
      <c r="W140" s="159">
        <f t="shared" si="7"/>
        <v>185</v>
      </c>
      <c r="X140" s="159">
        <f t="shared" si="8"/>
        <v>13</v>
      </c>
      <c r="Y140" s="160">
        <v>7</v>
      </c>
      <c r="Z140" s="160">
        <v>12</v>
      </c>
    </row>
    <row r="141" spans="1:26" ht="21" x14ac:dyDescent="0.35">
      <c r="A141" s="5">
        <v>16</v>
      </c>
      <c r="B141" s="5" t="s">
        <v>729</v>
      </c>
      <c r="C141" s="235" t="s">
        <v>488</v>
      </c>
      <c r="D141" s="154">
        <v>22</v>
      </c>
      <c r="E141" s="154">
        <v>12</v>
      </c>
      <c r="F141" s="154">
        <v>1</v>
      </c>
      <c r="G141" s="156">
        <v>12</v>
      </c>
      <c r="H141" s="156">
        <v>12</v>
      </c>
      <c r="I141" s="156">
        <v>1</v>
      </c>
      <c r="J141" s="154">
        <v>16</v>
      </c>
      <c r="K141" s="154">
        <v>18</v>
      </c>
      <c r="L141" s="154">
        <v>1</v>
      </c>
      <c r="M141" s="156">
        <v>12</v>
      </c>
      <c r="N141" s="156">
        <v>9</v>
      </c>
      <c r="O141" s="156">
        <v>1</v>
      </c>
      <c r="P141" s="154">
        <v>10</v>
      </c>
      <c r="Q141" s="154">
        <v>9</v>
      </c>
      <c r="R141" s="154">
        <v>1</v>
      </c>
      <c r="S141" s="156">
        <v>4</v>
      </c>
      <c r="T141" s="156">
        <v>16</v>
      </c>
      <c r="U141" s="156">
        <v>1</v>
      </c>
      <c r="V141" s="159">
        <f t="shared" si="9"/>
        <v>76</v>
      </c>
      <c r="W141" s="159">
        <f t="shared" si="7"/>
        <v>76</v>
      </c>
      <c r="X141" s="159">
        <f t="shared" si="8"/>
        <v>6</v>
      </c>
      <c r="Y141" s="191">
        <v>2</v>
      </c>
      <c r="Z141" s="191">
        <v>5</v>
      </c>
    </row>
    <row r="142" spans="1:26" ht="21" x14ac:dyDescent="0.35">
      <c r="A142" s="5">
        <v>17</v>
      </c>
      <c r="B142" s="5" t="s">
        <v>729</v>
      </c>
      <c r="C142" s="235" t="s">
        <v>489</v>
      </c>
      <c r="D142" s="154">
        <v>16</v>
      </c>
      <c r="E142" s="154">
        <v>9</v>
      </c>
      <c r="F142" s="154">
        <v>1</v>
      </c>
      <c r="G142" s="156">
        <v>14</v>
      </c>
      <c r="H142" s="156">
        <v>11</v>
      </c>
      <c r="I142" s="156">
        <v>1</v>
      </c>
      <c r="J142" s="154">
        <v>12</v>
      </c>
      <c r="K142" s="154">
        <v>13</v>
      </c>
      <c r="L142" s="154">
        <v>1</v>
      </c>
      <c r="M142" s="156">
        <v>12</v>
      </c>
      <c r="N142" s="156">
        <v>9</v>
      </c>
      <c r="O142" s="156">
        <v>1</v>
      </c>
      <c r="P142" s="154">
        <v>5</v>
      </c>
      <c r="Q142" s="154">
        <v>7</v>
      </c>
      <c r="R142" s="154">
        <v>1</v>
      </c>
      <c r="S142" s="156">
        <v>14</v>
      </c>
      <c r="T142" s="156">
        <v>13</v>
      </c>
      <c r="U142" s="156">
        <v>1</v>
      </c>
      <c r="V142" s="159">
        <f t="shared" si="9"/>
        <v>73</v>
      </c>
      <c r="W142" s="159">
        <f t="shared" si="7"/>
        <v>62</v>
      </c>
      <c r="X142" s="159">
        <f t="shared" si="8"/>
        <v>6</v>
      </c>
      <c r="Y142" s="204">
        <v>1</v>
      </c>
      <c r="Z142" s="204">
        <v>11</v>
      </c>
    </row>
    <row r="143" spans="1:26" ht="21" x14ac:dyDescent="0.35">
      <c r="A143" s="10">
        <v>1</v>
      </c>
      <c r="B143" s="5" t="s">
        <v>694</v>
      </c>
      <c r="C143" s="202" t="s">
        <v>491</v>
      </c>
      <c r="D143" s="169">
        <v>57</v>
      </c>
      <c r="E143" s="154">
        <v>43</v>
      </c>
      <c r="F143" s="154">
        <v>3</v>
      </c>
      <c r="G143" s="156">
        <v>66</v>
      </c>
      <c r="H143" s="156">
        <v>67</v>
      </c>
      <c r="I143" s="156">
        <v>3</v>
      </c>
      <c r="J143" s="154">
        <v>59</v>
      </c>
      <c r="K143" s="154">
        <v>70</v>
      </c>
      <c r="L143" s="154">
        <v>3</v>
      </c>
      <c r="M143" s="156">
        <v>40</v>
      </c>
      <c r="N143" s="156">
        <v>50</v>
      </c>
      <c r="O143" s="156">
        <v>2</v>
      </c>
      <c r="P143" s="154">
        <v>68</v>
      </c>
      <c r="Q143" s="154">
        <v>37</v>
      </c>
      <c r="R143" s="154">
        <v>3</v>
      </c>
      <c r="S143" s="156">
        <v>31</v>
      </c>
      <c r="T143" s="156">
        <v>72</v>
      </c>
      <c r="U143" s="156">
        <v>3</v>
      </c>
      <c r="V143" s="159">
        <f t="shared" si="9"/>
        <v>321</v>
      </c>
      <c r="W143" s="159">
        <f t="shared" si="7"/>
        <v>339</v>
      </c>
      <c r="X143" s="159">
        <f t="shared" si="8"/>
        <v>17</v>
      </c>
      <c r="Y143" s="191">
        <v>1</v>
      </c>
      <c r="Z143" s="191">
        <v>32</v>
      </c>
    </row>
    <row r="144" spans="1:26" ht="21" x14ac:dyDescent="0.35">
      <c r="A144" s="5">
        <v>2</v>
      </c>
      <c r="B144" s="5" t="s">
        <v>694</v>
      </c>
      <c r="C144" s="202" t="s">
        <v>492</v>
      </c>
      <c r="D144" s="169">
        <v>53</v>
      </c>
      <c r="E144" s="154">
        <v>34</v>
      </c>
      <c r="F144" s="154">
        <v>2</v>
      </c>
      <c r="G144" s="156">
        <v>32</v>
      </c>
      <c r="H144" s="156">
        <v>22</v>
      </c>
      <c r="I144" s="156">
        <v>2</v>
      </c>
      <c r="J144" s="154">
        <v>35</v>
      </c>
      <c r="K144" s="154">
        <v>36</v>
      </c>
      <c r="L144" s="154">
        <v>2</v>
      </c>
      <c r="M144" s="156">
        <v>28</v>
      </c>
      <c r="N144" s="156">
        <v>42</v>
      </c>
      <c r="O144" s="156">
        <v>2</v>
      </c>
      <c r="P144" s="154">
        <v>28</v>
      </c>
      <c r="Q144" s="154">
        <v>33</v>
      </c>
      <c r="R144" s="154">
        <v>2</v>
      </c>
      <c r="S144" s="156">
        <v>29</v>
      </c>
      <c r="T144" s="156">
        <v>58</v>
      </c>
      <c r="U144" s="156">
        <v>2</v>
      </c>
      <c r="V144" s="159">
        <f t="shared" si="9"/>
        <v>205</v>
      </c>
      <c r="W144" s="159">
        <f t="shared" si="7"/>
        <v>225</v>
      </c>
      <c r="X144" s="159">
        <f t="shared" si="8"/>
        <v>12</v>
      </c>
      <c r="Y144" s="191">
        <v>4</v>
      </c>
      <c r="Z144" s="191">
        <v>18</v>
      </c>
    </row>
    <row r="145" spans="1:26" ht="21" x14ac:dyDescent="0.35">
      <c r="A145" s="5">
        <v>3</v>
      </c>
      <c r="B145" s="5" t="s">
        <v>694</v>
      </c>
      <c r="C145" s="202" t="s">
        <v>493</v>
      </c>
      <c r="D145" s="169">
        <v>55</v>
      </c>
      <c r="E145" s="154">
        <v>0</v>
      </c>
      <c r="F145" s="154">
        <v>2</v>
      </c>
      <c r="G145" s="156">
        <v>66</v>
      </c>
      <c r="H145" s="156">
        <v>0</v>
      </c>
      <c r="I145" s="156">
        <v>2</v>
      </c>
      <c r="J145" s="154">
        <v>44</v>
      </c>
      <c r="K145" s="154">
        <v>0</v>
      </c>
      <c r="L145" s="154">
        <v>2</v>
      </c>
      <c r="M145" s="156">
        <v>52</v>
      </c>
      <c r="N145" s="156">
        <v>0</v>
      </c>
      <c r="O145" s="156">
        <v>2</v>
      </c>
      <c r="P145" s="154">
        <v>47</v>
      </c>
      <c r="Q145" s="154">
        <v>0</v>
      </c>
      <c r="R145" s="154">
        <v>2</v>
      </c>
      <c r="S145" s="156">
        <v>57</v>
      </c>
      <c r="T145" s="156">
        <v>0</v>
      </c>
      <c r="U145" s="156">
        <v>2</v>
      </c>
      <c r="V145" s="159">
        <f t="shared" si="9"/>
        <v>321</v>
      </c>
      <c r="W145" s="159">
        <f t="shared" si="7"/>
        <v>0</v>
      </c>
      <c r="X145" s="159">
        <f t="shared" si="8"/>
        <v>12</v>
      </c>
      <c r="Y145" s="191">
        <v>4</v>
      </c>
      <c r="Z145" s="191">
        <v>17</v>
      </c>
    </row>
    <row r="146" spans="1:26" ht="21" x14ac:dyDescent="0.35">
      <c r="A146" s="5">
        <v>4</v>
      </c>
      <c r="B146" s="5" t="s">
        <v>694</v>
      </c>
      <c r="C146" s="202" t="s">
        <v>494</v>
      </c>
      <c r="D146" s="169">
        <v>151</v>
      </c>
      <c r="E146" s="154">
        <v>126</v>
      </c>
      <c r="F146" s="154">
        <v>6</v>
      </c>
      <c r="G146" s="156">
        <v>127</v>
      </c>
      <c r="H146" s="156">
        <v>123</v>
      </c>
      <c r="I146" s="156">
        <v>5</v>
      </c>
      <c r="J146" s="154">
        <v>95</v>
      </c>
      <c r="K146" s="154">
        <v>128</v>
      </c>
      <c r="L146" s="154">
        <v>5</v>
      </c>
      <c r="M146" s="156">
        <v>74</v>
      </c>
      <c r="N146" s="156">
        <v>99</v>
      </c>
      <c r="O146" s="156">
        <v>4</v>
      </c>
      <c r="P146" s="154">
        <v>50</v>
      </c>
      <c r="Q146" s="154">
        <v>132</v>
      </c>
      <c r="R146" s="154">
        <v>4</v>
      </c>
      <c r="S146" s="156">
        <v>71</v>
      </c>
      <c r="T146" s="156">
        <v>82</v>
      </c>
      <c r="U146" s="156">
        <v>3</v>
      </c>
      <c r="V146" s="159">
        <f t="shared" si="9"/>
        <v>568</v>
      </c>
      <c r="W146" s="159">
        <f t="shared" si="7"/>
        <v>690</v>
      </c>
      <c r="X146" s="159">
        <f t="shared" si="8"/>
        <v>27</v>
      </c>
      <c r="Y146" s="191">
        <v>5</v>
      </c>
      <c r="Z146" s="191">
        <v>30</v>
      </c>
    </row>
    <row r="147" spans="1:26" ht="21" x14ac:dyDescent="0.35">
      <c r="A147" s="5">
        <v>5</v>
      </c>
      <c r="B147" s="5" t="s">
        <v>694</v>
      </c>
      <c r="C147" s="202" t="s">
        <v>495</v>
      </c>
      <c r="D147" s="169">
        <v>22</v>
      </c>
      <c r="E147" s="154">
        <v>24</v>
      </c>
      <c r="F147" s="154">
        <v>1</v>
      </c>
      <c r="G147" s="156">
        <v>17</v>
      </c>
      <c r="H147" s="156">
        <v>4</v>
      </c>
      <c r="I147" s="156">
        <v>1</v>
      </c>
      <c r="J147" s="154">
        <v>22</v>
      </c>
      <c r="K147" s="154">
        <v>10</v>
      </c>
      <c r="L147" s="154">
        <v>1</v>
      </c>
      <c r="M147" s="156">
        <v>17</v>
      </c>
      <c r="N147" s="156">
        <v>24</v>
      </c>
      <c r="O147" s="156">
        <v>1</v>
      </c>
      <c r="P147" s="154">
        <v>7</v>
      </c>
      <c r="Q147" s="154">
        <v>11</v>
      </c>
      <c r="R147" s="154">
        <v>1</v>
      </c>
      <c r="S147" s="156">
        <v>31</v>
      </c>
      <c r="T147" s="156">
        <v>15</v>
      </c>
      <c r="U147" s="156">
        <v>1</v>
      </c>
      <c r="V147" s="159">
        <f t="shared" si="9"/>
        <v>116</v>
      </c>
      <c r="W147" s="159">
        <f t="shared" si="7"/>
        <v>88</v>
      </c>
      <c r="X147" s="159">
        <f t="shared" si="8"/>
        <v>6</v>
      </c>
      <c r="Y147" s="239">
        <v>1</v>
      </c>
      <c r="Z147" s="239">
        <v>25</v>
      </c>
    </row>
    <row r="148" spans="1:26" ht="21" x14ac:dyDescent="0.35">
      <c r="A148" s="5">
        <v>6</v>
      </c>
      <c r="B148" s="5" t="s">
        <v>694</v>
      </c>
      <c r="C148" s="202" t="s">
        <v>496</v>
      </c>
      <c r="D148" s="169">
        <v>0</v>
      </c>
      <c r="E148" s="154">
        <v>68</v>
      </c>
      <c r="F148" s="154">
        <v>2</v>
      </c>
      <c r="G148" s="156">
        <v>0</v>
      </c>
      <c r="H148" s="156">
        <v>77</v>
      </c>
      <c r="I148" s="156">
        <v>2</v>
      </c>
      <c r="J148" s="154">
        <v>0</v>
      </c>
      <c r="K148" s="154">
        <v>99</v>
      </c>
      <c r="L148" s="154">
        <v>3</v>
      </c>
      <c r="M148" s="156">
        <v>0</v>
      </c>
      <c r="N148" s="156">
        <v>84</v>
      </c>
      <c r="O148" s="156">
        <v>2</v>
      </c>
      <c r="P148" s="154">
        <v>0</v>
      </c>
      <c r="Q148" s="154">
        <v>105</v>
      </c>
      <c r="R148" s="154">
        <v>3</v>
      </c>
      <c r="S148" s="156">
        <v>0</v>
      </c>
      <c r="T148" s="156">
        <v>72</v>
      </c>
      <c r="U148" s="156">
        <v>2</v>
      </c>
      <c r="V148" s="159">
        <f t="shared" si="9"/>
        <v>0</v>
      </c>
      <c r="W148" s="159">
        <f t="shared" si="7"/>
        <v>505</v>
      </c>
      <c r="X148" s="159">
        <f t="shared" si="8"/>
        <v>14</v>
      </c>
      <c r="Y148" s="191">
        <v>5</v>
      </c>
      <c r="Z148" s="191">
        <v>34</v>
      </c>
    </row>
    <row r="149" spans="1:26" ht="21" x14ac:dyDescent="0.35">
      <c r="A149" s="5">
        <v>7</v>
      </c>
      <c r="B149" s="5" t="s">
        <v>694</v>
      </c>
      <c r="C149" s="202" t="s">
        <v>497</v>
      </c>
      <c r="D149" s="169">
        <v>24</v>
      </c>
      <c r="E149" s="154">
        <v>26</v>
      </c>
      <c r="F149" s="154">
        <v>1</v>
      </c>
      <c r="G149" s="156">
        <v>16</v>
      </c>
      <c r="H149" s="156">
        <v>27</v>
      </c>
      <c r="I149" s="156">
        <v>1</v>
      </c>
      <c r="J149" s="154">
        <v>29</v>
      </c>
      <c r="K149" s="154">
        <v>25</v>
      </c>
      <c r="L149" s="154">
        <v>1</v>
      </c>
      <c r="M149" s="156">
        <v>19</v>
      </c>
      <c r="N149" s="156">
        <v>17</v>
      </c>
      <c r="O149" s="156">
        <v>1</v>
      </c>
      <c r="P149" s="154">
        <v>9</v>
      </c>
      <c r="Q149" s="154">
        <v>20</v>
      </c>
      <c r="R149" s="154">
        <v>1</v>
      </c>
      <c r="S149" s="156">
        <v>29</v>
      </c>
      <c r="T149" s="156">
        <v>17</v>
      </c>
      <c r="U149" s="156">
        <v>2</v>
      </c>
      <c r="V149" s="159">
        <f t="shared" si="9"/>
        <v>126</v>
      </c>
      <c r="W149" s="159">
        <f t="shared" si="7"/>
        <v>132</v>
      </c>
      <c r="X149" s="159">
        <f t="shared" si="8"/>
        <v>7</v>
      </c>
      <c r="Y149" s="191">
        <v>4</v>
      </c>
      <c r="Z149" s="191">
        <v>19</v>
      </c>
    </row>
    <row r="150" spans="1:26" ht="21" x14ac:dyDescent="0.35">
      <c r="A150" s="5">
        <v>8</v>
      </c>
      <c r="B150" s="5" t="s">
        <v>694</v>
      </c>
      <c r="C150" s="202" t="s">
        <v>498</v>
      </c>
      <c r="D150" s="169">
        <v>165</v>
      </c>
      <c r="E150" s="154">
        <v>108</v>
      </c>
      <c r="F150" s="186">
        <v>5</v>
      </c>
      <c r="G150" s="156">
        <v>137</v>
      </c>
      <c r="H150" s="156">
        <v>70</v>
      </c>
      <c r="I150" s="158">
        <v>4</v>
      </c>
      <c r="J150" s="154">
        <v>133</v>
      </c>
      <c r="K150" s="154">
        <v>74</v>
      </c>
      <c r="L150" s="186">
        <v>4</v>
      </c>
      <c r="M150" s="156">
        <v>131</v>
      </c>
      <c r="N150" s="156">
        <v>82</v>
      </c>
      <c r="O150" s="158">
        <v>4</v>
      </c>
      <c r="P150" s="154">
        <v>79</v>
      </c>
      <c r="Q150" s="154">
        <v>63</v>
      </c>
      <c r="R150" s="186">
        <v>3</v>
      </c>
      <c r="S150" s="156">
        <v>73</v>
      </c>
      <c r="T150" s="156">
        <v>67</v>
      </c>
      <c r="U150" s="158">
        <v>3</v>
      </c>
      <c r="V150" s="159">
        <f t="shared" si="9"/>
        <v>718</v>
      </c>
      <c r="W150" s="159">
        <f t="shared" si="7"/>
        <v>464</v>
      </c>
      <c r="X150" s="159">
        <f t="shared" si="8"/>
        <v>23</v>
      </c>
      <c r="Y150" s="191">
        <v>3</v>
      </c>
      <c r="Z150" s="191">
        <v>33</v>
      </c>
    </row>
    <row r="151" spans="1:26" ht="21" x14ac:dyDescent="0.35">
      <c r="A151" s="5"/>
      <c r="B151" s="5" t="s">
        <v>730</v>
      </c>
      <c r="C151" s="202" t="s">
        <v>500</v>
      </c>
      <c r="D151" s="169">
        <v>45</v>
      </c>
      <c r="E151" s="154">
        <v>55</v>
      </c>
      <c r="F151" s="154">
        <v>2</v>
      </c>
      <c r="G151" s="156">
        <v>41</v>
      </c>
      <c r="H151" s="156">
        <v>39</v>
      </c>
      <c r="I151" s="156">
        <v>2</v>
      </c>
      <c r="J151" s="154">
        <v>57</v>
      </c>
      <c r="K151" s="154">
        <v>40</v>
      </c>
      <c r="L151" s="154">
        <v>2</v>
      </c>
      <c r="M151" s="156">
        <v>35</v>
      </c>
      <c r="N151" s="156">
        <v>35</v>
      </c>
      <c r="O151" s="156">
        <v>2</v>
      </c>
      <c r="P151" s="154">
        <v>22</v>
      </c>
      <c r="Q151" s="154">
        <v>35</v>
      </c>
      <c r="R151" s="154">
        <v>1</v>
      </c>
      <c r="S151" s="156">
        <v>19</v>
      </c>
      <c r="T151" s="156">
        <v>17</v>
      </c>
      <c r="U151" s="156">
        <v>1</v>
      </c>
      <c r="V151" s="159">
        <f t="shared" si="9"/>
        <v>219</v>
      </c>
      <c r="W151" s="159">
        <f t="shared" ref="W151:W214" si="10">E151+H151+K151+N151+Q151+T151</f>
        <v>221</v>
      </c>
      <c r="X151" s="159">
        <f t="shared" ref="X151:X214" si="11">F151+I151+L151+O151+R151+U151</f>
        <v>10</v>
      </c>
      <c r="Y151" s="191">
        <v>1</v>
      </c>
      <c r="Z151" s="191">
        <v>15</v>
      </c>
    </row>
    <row r="152" spans="1:26" ht="21" x14ac:dyDescent="0.35">
      <c r="A152" s="5">
        <v>2</v>
      </c>
      <c r="B152" s="5" t="s">
        <v>730</v>
      </c>
      <c r="C152" s="202" t="s">
        <v>501</v>
      </c>
      <c r="D152" s="153">
        <v>29</v>
      </c>
      <c r="E152" s="186">
        <v>17</v>
      </c>
      <c r="F152" s="186">
        <v>1</v>
      </c>
      <c r="G152" s="158">
        <v>14</v>
      </c>
      <c r="H152" s="158">
        <v>11</v>
      </c>
      <c r="I152" s="158">
        <v>1</v>
      </c>
      <c r="J152" s="186">
        <v>20</v>
      </c>
      <c r="K152" s="186">
        <v>14</v>
      </c>
      <c r="L152" s="186">
        <v>1</v>
      </c>
      <c r="M152" s="158">
        <v>4</v>
      </c>
      <c r="N152" s="158">
        <v>3</v>
      </c>
      <c r="O152" s="158">
        <v>1</v>
      </c>
      <c r="P152" s="186">
        <v>5</v>
      </c>
      <c r="Q152" s="186">
        <v>13</v>
      </c>
      <c r="R152" s="186">
        <v>1</v>
      </c>
      <c r="S152" s="158">
        <v>12</v>
      </c>
      <c r="T152" s="158">
        <v>15</v>
      </c>
      <c r="U152" s="158">
        <v>1</v>
      </c>
      <c r="V152" s="159">
        <f t="shared" si="9"/>
        <v>84</v>
      </c>
      <c r="W152" s="159">
        <f t="shared" si="10"/>
        <v>73</v>
      </c>
      <c r="X152" s="159">
        <f t="shared" si="11"/>
        <v>6</v>
      </c>
      <c r="Y152" s="160">
        <v>6</v>
      </c>
      <c r="Z152" s="160">
        <v>15</v>
      </c>
    </row>
    <row r="153" spans="1:26" ht="21" x14ac:dyDescent="0.35">
      <c r="A153" s="5">
        <v>3</v>
      </c>
      <c r="B153" s="5" t="s">
        <v>730</v>
      </c>
      <c r="C153" s="202" t="s">
        <v>502</v>
      </c>
      <c r="D153" s="153">
        <v>35</v>
      </c>
      <c r="E153" s="186">
        <v>39</v>
      </c>
      <c r="F153" s="186">
        <v>2</v>
      </c>
      <c r="G153" s="158">
        <v>12</v>
      </c>
      <c r="H153" s="158">
        <v>24</v>
      </c>
      <c r="I153" s="158">
        <v>1</v>
      </c>
      <c r="J153" s="186">
        <v>15</v>
      </c>
      <c r="K153" s="186">
        <v>29</v>
      </c>
      <c r="L153" s="186">
        <v>1</v>
      </c>
      <c r="M153" s="158">
        <v>25</v>
      </c>
      <c r="N153" s="158">
        <v>15</v>
      </c>
      <c r="O153" s="158">
        <v>1</v>
      </c>
      <c r="P153" s="186">
        <v>12</v>
      </c>
      <c r="Q153" s="186">
        <v>19</v>
      </c>
      <c r="R153" s="186">
        <v>1</v>
      </c>
      <c r="S153" s="158">
        <v>26</v>
      </c>
      <c r="T153" s="158">
        <v>33</v>
      </c>
      <c r="U153" s="158">
        <v>1</v>
      </c>
      <c r="V153" s="159">
        <f t="shared" si="9"/>
        <v>125</v>
      </c>
      <c r="W153" s="159">
        <f t="shared" si="10"/>
        <v>159</v>
      </c>
      <c r="X153" s="159">
        <f t="shared" si="11"/>
        <v>7</v>
      </c>
      <c r="Y153" s="160">
        <v>3</v>
      </c>
      <c r="Z153" s="160">
        <v>18</v>
      </c>
    </row>
    <row r="154" spans="1:26" ht="21" x14ac:dyDescent="0.35">
      <c r="A154" s="5">
        <v>4</v>
      </c>
      <c r="B154" s="5" t="s">
        <v>730</v>
      </c>
      <c r="C154" s="202" t="s">
        <v>503</v>
      </c>
      <c r="D154" s="169">
        <v>0</v>
      </c>
      <c r="E154" s="154">
        <v>123</v>
      </c>
      <c r="F154" s="154">
        <v>3</v>
      </c>
      <c r="G154" s="156">
        <v>0</v>
      </c>
      <c r="H154" s="156">
        <v>113</v>
      </c>
      <c r="I154" s="156">
        <v>3</v>
      </c>
      <c r="J154" s="154">
        <v>0</v>
      </c>
      <c r="K154" s="154">
        <v>113</v>
      </c>
      <c r="L154" s="154">
        <v>3</v>
      </c>
      <c r="M154" s="156">
        <v>0</v>
      </c>
      <c r="N154" s="156">
        <v>90</v>
      </c>
      <c r="O154" s="156">
        <v>2</v>
      </c>
      <c r="P154" s="154">
        <v>0</v>
      </c>
      <c r="Q154" s="154">
        <v>68</v>
      </c>
      <c r="R154" s="154">
        <v>2</v>
      </c>
      <c r="S154" s="156">
        <v>0</v>
      </c>
      <c r="T154" s="156">
        <v>95</v>
      </c>
      <c r="U154" s="156">
        <v>2</v>
      </c>
      <c r="V154" s="159">
        <f t="shared" si="9"/>
        <v>0</v>
      </c>
      <c r="W154" s="159">
        <f t="shared" si="10"/>
        <v>602</v>
      </c>
      <c r="X154" s="159">
        <f t="shared" si="11"/>
        <v>15</v>
      </c>
      <c r="Y154" s="191">
        <v>8</v>
      </c>
      <c r="Z154" s="191">
        <v>18</v>
      </c>
    </row>
    <row r="155" spans="1:26" ht="21" x14ac:dyDescent="0.35">
      <c r="A155" s="5">
        <v>5</v>
      </c>
      <c r="B155" s="5" t="s">
        <v>730</v>
      </c>
      <c r="C155" s="202" t="s">
        <v>504</v>
      </c>
      <c r="D155" s="240">
        <v>57</v>
      </c>
      <c r="E155" s="241">
        <v>0</v>
      </c>
      <c r="F155" s="241">
        <v>2</v>
      </c>
      <c r="G155" s="242">
        <v>49</v>
      </c>
      <c r="H155" s="242">
        <v>0</v>
      </c>
      <c r="I155" s="242">
        <v>1</v>
      </c>
      <c r="J155" s="241">
        <v>40</v>
      </c>
      <c r="K155" s="241">
        <v>0</v>
      </c>
      <c r="L155" s="241">
        <v>1</v>
      </c>
      <c r="M155" s="242">
        <v>32</v>
      </c>
      <c r="N155" s="242">
        <v>0</v>
      </c>
      <c r="O155" s="242">
        <v>1</v>
      </c>
      <c r="P155" s="241">
        <v>32</v>
      </c>
      <c r="Q155" s="241">
        <v>0</v>
      </c>
      <c r="R155" s="241">
        <v>1</v>
      </c>
      <c r="S155" s="242">
        <v>57</v>
      </c>
      <c r="T155" s="242">
        <v>0</v>
      </c>
      <c r="U155" s="242">
        <v>2</v>
      </c>
      <c r="V155" s="159">
        <f t="shared" si="9"/>
        <v>267</v>
      </c>
      <c r="W155" s="159">
        <f t="shared" si="10"/>
        <v>0</v>
      </c>
      <c r="X155" s="159">
        <f t="shared" si="11"/>
        <v>8</v>
      </c>
      <c r="Y155" s="191">
        <v>6</v>
      </c>
      <c r="Z155" s="191">
        <v>19</v>
      </c>
    </row>
    <row r="156" spans="1:26" ht="21" x14ac:dyDescent="0.35">
      <c r="A156" s="5">
        <v>6</v>
      </c>
      <c r="B156" s="5" t="s">
        <v>730</v>
      </c>
      <c r="C156" s="202" t="s">
        <v>505</v>
      </c>
      <c r="D156" s="153">
        <v>200</v>
      </c>
      <c r="E156" s="186">
        <v>140</v>
      </c>
      <c r="F156" s="186">
        <v>7</v>
      </c>
      <c r="G156" s="158">
        <v>142</v>
      </c>
      <c r="H156" s="158">
        <v>90</v>
      </c>
      <c r="I156" s="158">
        <v>5</v>
      </c>
      <c r="J156" s="186">
        <v>133</v>
      </c>
      <c r="K156" s="186">
        <v>87</v>
      </c>
      <c r="L156" s="186">
        <v>5</v>
      </c>
      <c r="M156" s="158">
        <v>120</v>
      </c>
      <c r="N156" s="158">
        <v>62</v>
      </c>
      <c r="O156" s="158">
        <v>3</v>
      </c>
      <c r="P156" s="186">
        <v>66</v>
      </c>
      <c r="Q156" s="186">
        <v>49</v>
      </c>
      <c r="R156" s="186">
        <v>2</v>
      </c>
      <c r="S156" s="158">
        <v>49</v>
      </c>
      <c r="T156" s="158">
        <v>43</v>
      </c>
      <c r="U156" s="158">
        <v>2</v>
      </c>
      <c r="V156" s="159">
        <f t="shared" si="9"/>
        <v>710</v>
      </c>
      <c r="W156" s="159">
        <f t="shared" si="10"/>
        <v>471</v>
      </c>
      <c r="X156" s="159">
        <f t="shared" si="11"/>
        <v>24</v>
      </c>
      <c r="Y156" s="160">
        <v>10</v>
      </c>
      <c r="Z156" s="160">
        <v>17</v>
      </c>
    </row>
    <row r="157" spans="1:26" ht="21" x14ac:dyDescent="0.35">
      <c r="A157" s="5">
        <v>7</v>
      </c>
      <c r="B157" s="5" t="s">
        <v>730</v>
      </c>
      <c r="C157" s="202" t="s">
        <v>506</v>
      </c>
      <c r="D157" s="169">
        <v>57</v>
      </c>
      <c r="E157" s="154">
        <v>83</v>
      </c>
      <c r="F157" s="154">
        <v>2</v>
      </c>
      <c r="G157" s="156">
        <v>46</v>
      </c>
      <c r="H157" s="156">
        <v>44</v>
      </c>
      <c r="I157" s="156">
        <v>2</v>
      </c>
      <c r="J157" s="154">
        <v>52</v>
      </c>
      <c r="K157" s="154">
        <v>48</v>
      </c>
      <c r="L157" s="154">
        <v>3</v>
      </c>
      <c r="M157" s="156">
        <v>36</v>
      </c>
      <c r="N157" s="156">
        <v>46</v>
      </c>
      <c r="O157" s="156">
        <v>2</v>
      </c>
      <c r="P157" s="154">
        <v>30</v>
      </c>
      <c r="Q157" s="154">
        <v>33</v>
      </c>
      <c r="R157" s="154">
        <v>2</v>
      </c>
      <c r="S157" s="156">
        <v>20</v>
      </c>
      <c r="T157" s="156">
        <v>35</v>
      </c>
      <c r="U157" s="156">
        <v>2</v>
      </c>
      <c r="V157" s="159">
        <f t="shared" si="9"/>
        <v>241</v>
      </c>
      <c r="W157" s="159">
        <f t="shared" si="10"/>
        <v>289</v>
      </c>
      <c r="X157" s="159">
        <f t="shared" si="11"/>
        <v>13</v>
      </c>
      <c r="Y157" s="191">
        <v>4</v>
      </c>
      <c r="Z157" s="191">
        <v>15</v>
      </c>
    </row>
    <row r="158" spans="1:26" ht="21" x14ac:dyDescent="0.35">
      <c r="A158" s="5">
        <v>8</v>
      </c>
      <c r="B158" s="5" t="s">
        <v>730</v>
      </c>
      <c r="C158" s="202" t="s">
        <v>507</v>
      </c>
      <c r="D158" s="169">
        <v>33</v>
      </c>
      <c r="E158" s="154">
        <v>40</v>
      </c>
      <c r="F158" s="154">
        <v>2</v>
      </c>
      <c r="G158" s="156">
        <v>17</v>
      </c>
      <c r="H158" s="156">
        <v>16</v>
      </c>
      <c r="I158" s="156">
        <v>1</v>
      </c>
      <c r="J158" s="154">
        <v>16</v>
      </c>
      <c r="K158" s="154">
        <v>22</v>
      </c>
      <c r="L158" s="154">
        <v>1</v>
      </c>
      <c r="M158" s="156">
        <v>16</v>
      </c>
      <c r="N158" s="156">
        <v>16</v>
      </c>
      <c r="O158" s="156">
        <v>1</v>
      </c>
      <c r="P158" s="154">
        <v>17</v>
      </c>
      <c r="Q158" s="154">
        <v>16</v>
      </c>
      <c r="R158" s="154">
        <v>1</v>
      </c>
      <c r="S158" s="156">
        <v>29</v>
      </c>
      <c r="T158" s="156">
        <v>28</v>
      </c>
      <c r="U158" s="156">
        <v>1</v>
      </c>
      <c r="V158" s="159">
        <f t="shared" si="9"/>
        <v>128</v>
      </c>
      <c r="W158" s="159">
        <f t="shared" si="10"/>
        <v>138</v>
      </c>
      <c r="X158" s="159">
        <f t="shared" si="11"/>
        <v>7</v>
      </c>
      <c r="Y158" s="191">
        <v>4</v>
      </c>
      <c r="Z158" s="191">
        <v>9</v>
      </c>
    </row>
    <row r="159" spans="1:26" ht="21" x14ac:dyDescent="0.35">
      <c r="A159" s="5">
        <v>9</v>
      </c>
      <c r="B159" s="5" t="s">
        <v>730</v>
      </c>
      <c r="C159" s="202" t="s">
        <v>508</v>
      </c>
      <c r="D159" s="169">
        <v>46</v>
      </c>
      <c r="E159" s="154">
        <v>26</v>
      </c>
      <c r="F159" s="154">
        <v>2</v>
      </c>
      <c r="G159" s="156">
        <v>20</v>
      </c>
      <c r="H159" s="156">
        <v>22</v>
      </c>
      <c r="I159" s="156">
        <v>1</v>
      </c>
      <c r="J159" s="154">
        <v>24</v>
      </c>
      <c r="K159" s="154">
        <v>16</v>
      </c>
      <c r="L159" s="154">
        <v>1</v>
      </c>
      <c r="M159" s="156">
        <v>6</v>
      </c>
      <c r="N159" s="156">
        <v>19</v>
      </c>
      <c r="O159" s="156">
        <v>1</v>
      </c>
      <c r="P159" s="154">
        <v>8</v>
      </c>
      <c r="Q159" s="154">
        <v>10</v>
      </c>
      <c r="R159" s="154">
        <v>1</v>
      </c>
      <c r="S159" s="156">
        <v>18</v>
      </c>
      <c r="T159" s="156">
        <v>14</v>
      </c>
      <c r="U159" s="156">
        <v>1</v>
      </c>
      <c r="V159" s="159">
        <f t="shared" si="9"/>
        <v>122</v>
      </c>
      <c r="W159" s="159">
        <f t="shared" si="10"/>
        <v>107</v>
      </c>
      <c r="X159" s="159">
        <f t="shared" si="11"/>
        <v>7</v>
      </c>
      <c r="Y159" s="191">
        <v>2</v>
      </c>
      <c r="Z159" s="191">
        <v>5</v>
      </c>
    </row>
    <row r="160" spans="1:26" ht="21" x14ac:dyDescent="0.35">
      <c r="A160" s="5">
        <v>10</v>
      </c>
      <c r="B160" s="5" t="s">
        <v>730</v>
      </c>
      <c r="C160" s="243" t="s">
        <v>509</v>
      </c>
      <c r="D160" s="153">
        <v>43</v>
      </c>
      <c r="E160" s="186">
        <v>40</v>
      </c>
      <c r="F160" s="186">
        <v>2</v>
      </c>
      <c r="G160" s="158">
        <v>41</v>
      </c>
      <c r="H160" s="158">
        <v>34</v>
      </c>
      <c r="I160" s="158">
        <v>2</v>
      </c>
      <c r="J160" s="186">
        <v>36</v>
      </c>
      <c r="K160" s="186">
        <v>36</v>
      </c>
      <c r="L160" s="186">
        <v>2</v>
      </c>
      <c r="M160" s="158">
        <v>35</v>
      </c>
      <c r="N160" s="158">
        <v>39</v>
      </c>
      <c r="O160" s="158">
        <v>2</v>
      </c>
      <c r="P160" s="186">
        <v>26</v>
      </c>
      <c r="Q160" s="186">
        <v>34</v>
      </c>
      <c r="R160" s="186">
        <v>2</v>
      </c>
      <c r="S160" s="158">
        <v>29</v>
      </c>
      <c r="T160" s="158">
        <v>40</v>
      </c>
      <c r="U160" s="158">
        <v>2</v>
      </c>
      <c r="V160" s="159">
        <f t="shared" si="9"/>
        <v>210</v>
      </c>
      <c r="W160" s="159">
        <f t="shared" si="10"/>
        <v>223</v>
      </c>
      <c r="X160" s="159">
        <f t="shared" si="11"/>
        <v>12</v>
      </c>
      <c r="Y160" s="160">
        <v>8</v>
      </c>
      <c r="Z160" s="160">
        <v>8</v>
      </c>
    </row>
    <row r="161" spans="1:26" ht="21" x14ac:dyDescent="0.35">
      <c r="A161" s="5">
        <v>11</v>
      </c>
      <c r="B161" s="5" t="s">
        <v>730</v>
      </c>
      <c r="C161" s="202" t="s">
        <v>510</v>
      </c>
      <c r="D161" s="153">
        <v>61</v>
      </c>
      <c r="E161" s="186">
        <v>34</v>
      </c>
      <c r="F161" s="186">
        <v>2</v>
      </c>
      <c r="G161" s="158">
        <v>47</v>
      </c>
      <c r="H161" s="158">
        <v>44</v>
      </c>
      <c r="I161" s="158">
        <v>2</v>
      </c>
      <c r="J161" s="186">
        <v>56</v>
      </c>
      <c r="K161" s="186">
        <v>44</v>
      </c>
      <c r="L161" s="186">
        <v>2</v>
      </c>
      <c r="M161" s="158">
        <v>30</v>
      </c>
      <c r="N161" s="158">
        <v>49</v>
      </c>
      <c r="O161" s="158">
        <v>2</v>
      </c>
      <c r="P161" s="186">
        <v>37</v>
      </c>
      <c r="Q161" s="186">
        <v>38</v>
      </c>
      <c r="R161" s="186">
        <v>2</v>
      </c>
      <c r="S161" s="158">
        <v>31</v>
      </c>
      <c r="T161" s="158">
        <v>49</v>
      </c>
      <c r="U161" s="158">
        <v>2</v>
      </c>
      <c r="V161" s="159">
        <f t="shared" si="9"/>
        <v>262</v>
      </c>
      <c r="W161" s="159">
        <f t="shared" si="10"/>
        <v>258</v>
      </c>
      <c r="X161" s="159">
        <f t="shared" si="11"/>
        <v>12</v>
      </c>
      <c r="Y161" s="160">
        <v>4</v>
      </c>
      <c r="Z161" s="160">
        <v>13</v>
      </c>
    </row>
    <row r="162" spans="1:26" ht="21" x14ac:dyDescent="0.35">
      <c r="A162" s="5">
        <v>12</v>
      </c>
      <c r="B162" s="5" t="s">
        <v>730</v>
      </c>
      <c r="C162" s="202" t="s">
        <v>511</v>
      </c>
      <c r="D162" s="183">
        <v>50</v>
      </c>
      <c r="E162" s="155">
        <v>150</v>
      </c>
      <c r="F162" s="155">
        <v>4</v>
      </c>
      <c r="G162" s="157">
        <v>70</v>
      </c>
      <c r="H162" s="157">
        <v>92</v>
      </c>
      <c r="I162" s="157">
        <v>3</v>
      </c>
      <c r="J162" s="155">
        <v>55</v>
      </c>
      <c r="K162" s="155">
        <v>107</v>
      </c>
      <c r="L162" s="155">
        <v>4</v>
      </c>
      <c r="M162" s="157">
        <v>44</v>
      </c>
      <c r="N162" s="157">
        <v>72</v>
      </c>
      <c r="O162" s="157">
        <v>3</v>
      </c>
      <c r="P162" s="155">
        <v>37</v>
      </c>
      <c r="Q162" s="155">
        <v>68</v>
      </c>
      <c r="R162" s="155">
        <v>3</v>
      </c>
      <c r="S162" s="157">
        <v>12</v>
      </c>
      <c r="T162" s="157">
        <v>47</v>
      </c>
      <c r="U162" s="157">
        <v>2</v>
      </c>
      <c r="V162" s="159">
        <f t="shared" si="9"/>
        <v>268</v>
      </c>
      <c r="W162" s="159">
        <f t="shared" si="10"/>
        <v>536</v>
      </c>
      <c r="X162" s="159">
        <f t="shared" si="11"/>
        <v>19</v>
      </c>
      <c r="Y162" s="204">
        <v>7</v>
      </c>
      <c r="Z162" s="204">
        <v>17</v>
      </c>
    </row>
    <row r="163" spans="1:26" ht="21" x14ac:dyDescent="0.35">
      <c r="A163" s="5">
        <v>13</v>
      </c>
      <c r="B163" s="5" t="s">
        <v>730</v>
      </c>
      <c r="C163" s="202" t="s">
        <v>512</v>
      </c>
      <c r="D163" s="169">
        <v>20</v>
      </c>
      <c r="E163" s="154">
        <v>15</v>
      </c>
      <c r="F163" s="154">
        <v>1</v>
      </c>
      <c r="G163" s="156">
        <v>18</v>
      </c>
      <c r="H163" s="156">
        <v>18</v>
      </c>
      <c r="I163" s="156">
        <v>1</v>
      </c>
      <c r="J163" s="154">
        <v>16</v>
      </c>
      <c r="K163" s="154">
        <v>31</v>
      </c>
      <c r="L163" s="154">
        <v>1</v>
      </c>
      <c r="M163" s="156">
        <v>11</v>
      </c>
      <c r="N163" s="156">
        <v>10</v>
      </c>
      <c r="O163" s="156">
        <v>1</v>
      </c>
      <c r="P163" s="154">
        <v>11</v>
      </c>
      <c r="Q163" s="154">
        <v>20</v>
      </c>
      <c r="R163" s="154">
        <v>1</v>
      </c>
      <c r="S163" s="156">
        <v>11</v>
      </c>
      <c r="T163" s="156">
        <v>8</v>
      </c>
      <c r="U163" s="156">
        <v>1</v>
      </c>
      <c r="V163" s="159">
        <f t="shared" si="9"/>
        <v>87</v>
      </c>
      <c r="W163" s="159">
        <f t="shared" si="10"/>
        <v>102</v>
      </c>
      <c r="X163" s="159">
        <f t="shared" si="11"/>
        <v>6</v>
      </c>
      <c r="Y163" s="191">
        <v>1</v>
      </c>
      <c r="Z163" s="191">
        <v>6</v>
      </c>
    </row>
    <row r="164" spans="1:26" ht="21" x14ac:dyDescent="0.35">
      <c r="A164" s="5">
        <v>14</v>
      </c>
      <c r="B164" s="5" t="s">
        <v>730</v>
      </c>
      <c r="C164" s="202" t="s">
        <v>513</v>
      </c>
      <c r="D164" s="244">
        <v>40</v>
      </c>
      <c r="E164" s="186">
        <v>0</v>
      </c>
      <c r="F164" s="245">
        <v>1</v>
      </c>
      <c r="G164" s="158">
        <v>15</v>
      </c>
      <c r="H164" s="158">
        <v>0</v>
      </c>
      <c r="I164" s="246">
        <v>1</v>
      </c>
      <c r="J164" s="186">
        <v>29</v>
      </c>
      <c r="K164" s="186">
        <v>0</v>
      </c>
      <c r="L164" s="245">
        <v>1</v>
      </c>
      <c r="M164" s="158">
        <v>18</v>
      </c>
      <c r="N164" s="158">
        <v>0</v>
      </c>
      <c r="O164" s="246">
        <v>1</v>
      </c>
      <c r="P164" s="186">
        <v>11</v>
      </c>
      <c r="Q164" s="186">
        <v>0</v>
      </c>
      <c r="R164" s="245">
        <v>1</v>
      </c>
      <c r="S164" s="158">
        <v>32</v>
      </c>
      <c r="T164" s="158">
        <v>0</v>
      </c>
      <c r="U164" s="246">
        <v>1</v>
      </c>
      <c r="V164" s="159">
        <f t="shared" si="9"/>
        <v>145</v>
      </c>
      <c r="W164" s="159">
        <f t="shared" si="10"/>
        <v>0</v>
      </c>
      <c r="X164" s="159">
        <f t="shared" si="11"/>
        <v>6</v>
      </c>
      <c r="Y164" s="160">
        <v>3</v>
      </c>
      <c r="Z164" s="160">
        <v>13</v>
      </c>
    </row>
    <row r="165" spans="1:26" ht="21" x14ac:dyDescent="0.35">
      <c r="A165" s="5">
        <v>15</v>
      </c>
      <c r="B165" s="5" t="s">
        <v>730</v>
      </c>
      <c r="C165" s="202" t="s">
        <v>514</v>
      </c>
      <c r="D165" s="153">
        <v>20</v>
      </c>
      <c r="E165" s="186">
        <v>18</v>
      </c>
      <c r="F165" s="186">
        <v>1</v>
      </c>
      <c r="G165" s="158">
        <v>19</v>
      </c>
      <c r="H165" s="158">
        <v>23</v>
      </c>
      <c r="I165" s="158">
        <v>1</v>
      </c>
      <c r="J165" s="186">
        <v>23</v>
      </c>
      <c r="K165" s="186">
        <v>24</v>
      </c>
      <c r="L165" s="186">
        <v>1</v>
      </c>
      <c r="M165" s="158">
        <v>14</v>
      </c>
      <c r="N165" s="158">
        <v>18</v>
      </c>
      <c r="O165" s="158">
        <v>1</v>
      </c>
      <c r="P165" s="186">
        <v>13</v>
      </c>
      <c r="Q165" s="186">
        <v>11</v>
      </c>
      <c r="R165" s="186">
        <v>1</v>
      </c>
      <c r="S165" s="158">
        <v>12</v>
      </c>
      <c r="T165" s="158">
        <v>15</v>
      </c>
      <c r="U165" s="158">
        <v>1</v>
      </c>
      <c r="V165" s="159">
        <f t="shared" si="9"/>
        <v>101</v>
      </c>
      <c r="W165" s="159">
        <f t="shared" si="10"/>
        <v>109</v>
      </c>
      <c r="X165" s="159">
        <f t="shared" si="11"/>
        <v>6</v>
      </c>
      <c r="Y165" s="160">
        <v>4</v>
      </c>
      <c r="Z165" s="160">
        <v>8</v>
      </c>
    </row>
    <row r="166" spans="1:26" ht="21" x14ac:dyDescent="0.35">
      <c r="A166" s="5">
        <v>16</v>
      </c>
      <c r="B166" s="5" t="s">
        <v>730</v>
      </c>
      <c r="C166" s="202" t="s">
        <v>515</v>
      </c>
      <c r="D166" s="169">
        <v>0</v>
      </c>
      <c r="E166" s="154">
        <v>76</v>
      </c>
      <c r="F166" s="154">
        <v>2</v>
      </c>
      <c r="G166" s="156">
        <v>0</v>
      </c>
      <c r="H166" s="156">
        <v>46</v>
      </c>
      <c r="I166" s="156">
        <v>1</v>
      </c>
      <c r="J166" s="154">
        <v>0</v>
      </c>
      <c r="K166" s="154">
        <v>39</v>
      </c>
      <c r="L166" s="154">
        <v>1</v>
      </c>
      <c r="M166" s="156">
        <v>0</v>
      </c>
      <c r="N166" s="156">
        <v>51</v>
      </c>
      <c r="O166" s="156">
        <v>1</v>
      </c>
      <c r="P166" s="154">
        <v>0</v>
      </c>
      <c r="Q166" s="154">
        <v>25</v>
      </c>
      <c r="R166" s="154">
        <v>2</v>
      </c>
      <c r="S166" s="156">
        <v>0</v>
      </c>
      <c r="T166" s="156">
        <v>40</v>
      </c>
      <c r="U166" s="156">
        <v>2</v>
      </c>
      <c r="V166" s="159">
        <f t="shared" si="9"/>
        <v>0</v>
      </c>
      <c r="W166" s="159">
        <f t="shared" si="10"/>
        <v>277</v>
      </c>
      <c r="X166" s="159">
        <f t="shared" si="11"/>
        <v>9</v>
      </c>
      <c r="Y166" s="191">
        <v>5</v>
      </c>
      <c r="Z166" s="191">
        <v>14</v>
      </c>
    </row>
    <row r="167" spans="1:26" ht="21" x14ac:dyDescent="0.35">
      <c r="A167" s="5">
        <v>17</v>
      </c>
      <c r="B167" s="5" t="s">
        <v>730</v>
      </c>
      <c r="C167" s="202" t="s">
        <v>516</v>
      </c>
      <c r="D167" s="229"/>
      <c r="E167" s="210"/>
      <c r="F167" s="210"/>
      <c r="G167" s="211"/>
      <c r="H167" s="211"/>
      <c r="I167" s="211"/>
      <c r="J167" s="210"/>
      <c r="K167" s="210"/>
      <c r="L167" s="210"/>
      <c r="M167" s="211"/>
      <c r="N167" s="211"/>
      <c r="O167" s="211"/>
      <c r="P167" s="210"/>
      <c r="Q167" s="210"/>
      <c r="R167" s="210"/>
      <c r="S167" s="211"/>
      <c r="T167" s="211"/>
      <c r="U167" s="211"/>
      <c r="V167" s="159">
        <f t="shared" ref="V167:V230" si="12">D167+G167+J167+M167+P167+S167</f>
        <v>0</v>
      </c>
      <c r="W167" s="159">
        <f t="shared" si="10"/>
        <v>0</v>
      </c>
      <c r="X167" s="159">
        <f t="shared" si="11"/>
        <v>0</v>
      </c>
      <c r="Y167" s="213"/>
      <c r="Z167" s="213"/>
    </row>
    <row r="168" spans="1:26" ht="21" x14ac:dyDescent="0.35">
      <c r="A168" s="5">
        <v>1</v>
      </c>
      <c r="B168" s="5" t="s">
        <v>695</v>
      </c>
      <c r="C168" s="247" t="s">
        <v>518</v>
      </c>
      <c r="D168" s="186">
        <v>77</v>
      </c>
      <c r="E168" s="186">
        <v>66</v>
      </c>
      <c r="F168" s="186">
        <v>3</v>
      </c>
      <c r="G168" s="248">
        <v>81</v>
      </c>
      <c r="H168" s="248">
        <v>69</v>
      </c>
      <c r="I168" s="248">
        <v>3</v>
      </c>
      <c r="J168" s="186">
        <v>72</v>
      </c>
      <c r="K168" s="186">
        <v>72</v>
      </c>
      <c r="L168" s="186">
        <v>3</v>
      </c>
      <c r="M168" s="248">
        <v>63</v>
      </c>
      <c r="N168" s="248">
        <v>63</v>
      </c>
      <c r="O168" s="248">
        <v>3</v>
      </c>
      <c r="P168" s="186">
        <v>49</v>
      </c>
      <c r="Q168" s="186">
        <v>53</v>
      </c>
      <c r="R168" s="186">
        <v>2</v>
      </c>
      <c r="S168" s="248">
        <v>56</v>
      </c>
      <c r="T168" s="248">
        <v>45</v>
      </c>
      <c r="U168" s="248">
        <v>2</v>
      </c>
      <c r="V168" s="187">
        <f t="shared" si="12"/>
        <v>398</v>
      </c>
      <c r="W168" s="187">
        <f t="shared" si="10"/>
        <v>368</v>
      </c>
      <c r="X168" s="187">
        <f t="shared" si="11"/>
        <v>16</v>
      </c>
      <c r="Y168" s="249">
        <v>5</v>
      </c>
      <c r="Z168" s="249">
        <v>12</v>
      </c>
    </row>
    <row r="169" spans="1:26" ht="21" x14ac:dyDescent="0.35">
      <c r="A169" s="5">
        <v>2</v>
      </c>
      <c r="B169" s="5" t="s">
        <v>695</v>
      </c>
      <c r="C169" s="247" t="s">
        <v>519</v>
      </c>
      <c r="D169" s="166">
        <v>30</v>
      </c>
      <c r="E169" s="166">
        <v>58</v>
      </c>
      <c r="F169" s="154">
        <v>2</v>
      </c>
      <c r="G169" s="156">
        <v>47</v>
      </c>
      <c r="H169" s="156">
        <v>40</v>
      </c>
      <c r="I169" s="156">
        <v>2</v>
      </c>
      <c r="J169" s="154">
        <v>30</v>
      </c>
      <c r="K169" s="154">
        <v>45</v>
      </c>
      <c r="L169" s="154">
        <v>2</v>
      </c>
      <c r="M169" s="156">
        <v>30</v>
      </c>
      <c r="N169" s="156">
        <v>45</v>
      </c>
      <c r="O169" s="156">
        <v>2</v>
      </c>
      <c r="P169" s="154">
        <v>35</v>
      </c>
      <c r="Q169" s="154">
        <v>36</v>
      </c>
      <c r="R169" s="154">
        <v>2</v>
      </c>
      <c r="S169" s="156">
        <v>50</v>
      </c>
      <c r="T169" s="156">
        <v>54</v>
      </c>
      <c r="U169" s="156">
        <v>2</v>
      </c>
      <c r="V169" s="187">
        <f t="shared" si="12"/>
        <v>222</v>
      </c>
      <c r="W169" s="187">
        <f t="shared" si="10"/>
        <v>278</v>
      </c>
      <c r="X169" s="187">
        <f t="shared" si="11"/>
        <v>12</v>
      </c>
      <c r="Y169" s="191">
        <v>5</v>
      </c>
      <c r="Z169" s="191">
        <v>17</v>
      </c>
    </row>
    <row r="170" spans="1:26" ht="21" x14ac:dyDescent="0.35">
      <c r="A170" s="5">
        <v>3</v>
      </c>
      <c r="B170" s="5" t="s">
        <v>695</v>
      </c>
      <c r="C170" s="247" t="s">
        <v>520</v>
      </c>
      <c r="D170" s="166">
        <v>17</v>
      </c>
      <c r="E170" s="166">
        <v>10</v>
      </c>
      <c r="F170" s="154">
        <v>1</v>
      </c>
      <c r="G170" s="167">
        <v>11</v>
      </c>
      <c r="H170" s="167">
        <v>9</v>
      </c>
      <c r="I170" s="156">
        <v>1</v>
      </c>
      <c r="J170" s="166">
        <v>11</v>
      </c>
      <c r="K170" s="166">
        <v>12</v>
      </c>
      <c r="L170" s="154">
        <v>1</v>
      </c>
      <c r="M170" s="167">
        <v>13</v>
      </c>
      <c r="N170" s="167">
        <v>3</v>
      </c>
      <c r="O170" s="156">
        <v>1</v>
      </c>
      <c r="P170" s="166">
        <v>4</v>
      </c>
      <c r="Q170" s="166">
        <v>7</v>
      </c>
      <c r="R170" s="194">
        <v>2</v>
      </c>
      <c r="S170" s="185">
        <v>39</v>
      </c>
      <c r="T170" s="185">
        <v>52</v>
      </c>
      <c r="U170" s="250">
        <v>2</v>
      </c>
      <c r="V170" s="187">
        <f t="shared" si="12"/>
        <v>95</v>
      </c>
      <c r="W170" s="187">
        <f t="shared" si="10"/>
        <v>93</v>
      </c>
      <c r="X170" s="187">
        <f t="shared" si="11"/>
        <v>8</v>
      </c>
      <c r="Y170" s="170">
        <v>3</v>
      </c>
      <c r="Z170" s="170">
        <v>22</v>
      </c>
    </row>
    <row r="171" spans="1:26" ht="21" x14ac:dyDescent="0.35">
      <c r="A171" s="5">
        <v>4</v>
      </c>
      <c r="B171" s="5" t="s">
        <v>695</v>
      </c>
      <c r="C171" s="247" t="s">
        <v>521</v>
      </c>
      <c r="D171" s="186">
        <v>14</v>
      </c>
      <c r="E171" s="186">
        <v>18</v>
      </c>
      <c r="F171" s="186">
        <v>1</v>
      </c>
      <c r="G171" s="248">
        <v>10</v>
      </c>
      <c r="H171" s="248">
        <v>8</v>
      </c>
      <c r="I171" s="248">
        <v>1</v>
      </c>
      <c r="J171" s="186">
        <v>4</v>
      </c>
      <c r="K171" s="186">
        <v>12</v>
      </c>
      <c r="L171" s="186">
        <v>1</v>
      </c>
      <c r="M171" s="248">
        <v>4</v>
      </c>
      <c r="N171" s="248">
        <v>12</v>
      </c>
      <c r="O171" s="248">
        <v>1</v>
      </c>
      <c r="P171" s="186">
        <v>5</v>
      </c>
      <c r="Q171" s="186">
        <v>2</v>
      </c>
      <c r="R171" s="186">
        <v>1</v>
      </c>
      <c r="S171" s="248">
        <v>7</v>
      </c>
      <c r="T171" s="248">
        <v>13</v>
      </c>
      <c r="U171" s="248">
        <v>1</v>
      </c>
      <c r="V171" s="187">
        <f t="shared" si="12"/>
        <v>44</v>
      </c>
      <c r="W171" s="187">
        <f t="shared" si="10"/>
        <v>65</v>
      </c>
      <c r="X171" s="187">
        <f t="shared" si="11"/>
        <v>6</v>
      </c>
      <c r="Y171" s="249">
        <v>3</v>
      </c>
      <c r="Z171" s="249">
        <v>19</v>
      </c>
    </row>
    <row r="172" spans="1:26" ht="21" x14ac:dyDescent="0.35">
      <c r="A172" s="5">
        <v>5</v>
      </c>
      <c r="B172" s="5" t="s">
        <v>695</v>
      </c>
      <c r="C172" s="247" t="s">
        <v>522</v>
      </c>
      <c r="D172" s="154" t="s">
        <v>650</v>
      </c>
      <c r="E172" s="154" t="s">
        <v>38</v>
      </c>
      <c r="F172" s="154">
        <v>7</v>
      </c>
      <c r="G172" s="251" t="s">
        <v>651</v>
      </c>
      <c r="H172" s="251" t="s">
        <v>40</v>
      </c>
      <c r="I172" s="251">
        <v>4</v>
      </c>
      <c r="J172" s="154" t="s">
        <v>43</v>
      </c>
      <c r="K172" s="154" t="s">
        <v>652</v>
      </c>
      <c r="L172" s="154">
        <v>6</v>
      </c>
      <c r="M172" s="251" t="s">
        <v>653</v>
      </c>
      <c r="N172" s="251" t="s">
        <v>46</v>
      </c>
      <c r="O172" s="251">
        <v>4</v>
      </c>
      <c r="P172" s="154" t="s">
        <v>654</v>
      </c>
      <c r="Q172" s="154" t="s">
        <v>45</v>
      </c>
      <c r="R172" s="154">
        <v>4</v>
      </c>
      <c r="S172" s="251">
        <v>0</v>
      </c>
      <c r="T172" s="251">
        <v>0</v>
      </c>
      <c r="U172" s="251">
        <v>4</v>
      </c>
      <c r="V172" s="187">
        <f t="shared" si="12"/>
        <v>94</v>
      </c>
      <c r="W172" s="187">
        <f t="shared" si="10"/>
        <v>81</v>
      </c>
      <c r="X172" s="187">
        <f t="shared" si="11"/>
        <v>29</v>
      </c>
      <c r="Y172" s="252">
        <v>13</v>
      </c>
      <c r="Z172" s="252">
        <v>41</v>
      </c>
    </row>
    <row r="173" spans="1:26" ht="21" x14ac:dyDescent="0.35">
      <c r="A173" s="5">
        <v>6</v>
      </c>
      <c r="B173" s="5" t="s">
        <v>695</v>
      </c>
      <c r="C173" s="247" t="s">
        <v>523</v>
      </c>
      <c r="D173" s="166">
        <v>211</v>
      </c>
      <c r="E173" s="166">
        <v>221</v>
      </c>
      <c r="F173" s="154">
        <v>9</v>
      </c>
      <c r="G173" s="167">
        <v>124</v>
      </c>
      <c r="H173" s="167">
        <v>124</v>
      </c>
      <c r="I173" s="156">
        <v>5</v>
      </c>
      <c r="J173" s="166">
        <v>202</v>
      </c>
      <c r="K173" s="166">
        <v>129</v>
      </c>
      <c r="L173" s="154">
        <v>5</v>
      </c>
      <c r="M173" s="167">
        <v>114</v>
      </c>
      <c r="N173" s="167">
        <v>146</v>
      </c>
      <c r="O173" s="156">
        <v>5</v>
      </c>
      <c r="P173" s="166">
        <v>73</v>
      </c>
      <c r="Q173" s="166">
        <v>146</v>
      </c>
      <c r="R173" s="154">
        <v>5</v>
      </c>
      <c r="S173" s="167">
        <v>68</v>
      </c>
      <c r="T173" s="167">
        <v>120</v>
      </c>
      <c r="U173" s="156">
        <v>4</v>
      </c>
      <c r="V173" s="187">
        <f t="shared" si="12"/>
        <v>792</v>
      </c>
      <c r="W173" s="187">
        <f t="shared" si="10"/>
        <v>886</v>
      </c>
      <c r="X173" s="187">
        <f t="shared" si="11"/>
        <v>33</v>
      </c>
      <c r="Y173" s="160">
        <v>1</v>
      </c>
      <c r="Z173" s="160">
        <v>62</v>
      </c>
    </row>
    <row r="174" spans="1:26" ht="21" x14ac:dyDescent="0.35">
      <c r="A174" s="5">
        <v>7</v>
      </c>
      <c r="B174" s="5" t="s">
        <v>695</v>
      </c>
      <c r="C174" s="247" t="s">
        <v>524</v>
      </c>
      <c r="D174" s="186">
        <v>77</v>
      </c>
      <c r="E174" s="154">
        <v>49</v>
      </c>
      <c r="F174" s="154">
        <v>3</v>
      </c>
      <c r="G174" s="156">
        <v>44</v>
      </c>
      <c r="H174" s="156">
        <v>41</v>
      </c>
      <c r="I174" s="156">
        <v>2</v>
      </c>
      <c r="J174" s="154">
        <v>50</v>
      </c>
      <c r="K174" s="154">
        <v>65</v>
      </c>
      <c r="L174" s="154">
        <v>3</v>
      </c>
      <c r="M174" s="158">
        <v>43</v>
      </c>
      <c r="N174" s="156">
        <v>36</v>
      </c>
      <c r="O174" s="156">
        <v>2</v>
      </c>
      <c r="P174" s="154">
        <v>28</v>
      </c>
      <c r="Q174" s="154">
        <v>41</v>
      </c>
      <c r="R174" s="154">
        <v>2</v>
      </c>
      <c r="S174" s="156">
        <v>31</v>
      </c>
      <c r="T174" s="156">
        <v>69</v>
      </c>
      <c r="U174" s="156">
        <v>3</v>
      </c>
      <c r="V174" s="187">
        <f t="shared" si="12"/>
        <v>273</v>
      </c>
      <c r="W174" s="187">
        <f t="shared" si="10"/>
        <v>301</v>
      </c>
      <c r="X174" s="187">
        <f t="shared" si="11"/>
        <v>15</v>
      </c>
      <c r="Y174" s="160">
        <v>4</v>
      </c>
      <c r="Z174" s="160">
        <v>29</v>
      </c>
    </row>
    <row r="175" spans="1:26" ht="21" x14ac:dyDescent="0.35">
      <c r="A175" s="12">
        <v>8</v>
      </c>
      <c r="B175" s="5" t="s">
        <v>695</v>
      </c>
      <c r="C175" s="247" t="s">
        <v>525</v>
      </c>
      <c r="D175" s="166">
        <v>89</v>
      </c>
      <c r="E175" s="166">
        <v>119</v>
      </c>
      <c r="F175" s="154"/>
      <c r="G175" s="167">
        <v>50</v>
      </c>
      <c r="H175" s="167">
        <v>68</v>
      </c>
      <c r="I175" s="156"/>
      <c r="J175" s="166">
        <v>80</v>
      </c>
      <c r="K175" s="166">
        <v>90</v>
      </c>
      <c r="L175" s="154"/>
      <c r="M175" s="167">
        <v>59</v>
      </c>
      <c r="N175" s="167">
        <v>80</v>
      </c>
      <c r="O175" s="156"/>
      <c r="P175" s="166">
        <v>50</v>
      </c>
      <c r="Q175" s="166">
        <v>89</v>
      </c>
      <c r="R175" s="154"/>
      <c r="S175" s="167">
        <v>76</v>
      </c>
      <c r="T175" s="167">
        <v>91</v>
      </c>
      <c r="U175" s="156"/>
      <c r="V175" s="187">
        <f t="shared" si="12"/>
        <v>404</v>
      </c>
      <c r="W175" s="187">
        <f t="shared" si="10"/>
        <v>537</v>
      </c>
      <c r="X175" s="187">
        <f t="shared" si="11"/>
        <v>0</v>
      </c>
      <c r="Y175" s="170">
        <v>4</v>
      </c>
      <c r="Z175" s="170">
        <v>30</v>
      </c>
    </row>
    <row r="176" spans="1:26" ht="21" x14ac:dyDescent="0.35">
      <c r="A176" s="11">
        <v>9</v>
      </c>
      <c r="B176" s="5" t="s">
        <v>695</v>
      </c>
      <c r="C176" s="203" t="s">
        <v>526</v>
      </c>
      <c r="D176" s="253">
        <v>111</v>
      </c>
      <c r="E176" s="253">
        <v>111</v>
      </c>
      <c r="F176" s="186">
        <v>3</v>
      </c>
      <c r="G176" s="158">
        <v>104</v>
      </c>
      <c r="H176" s="158">
        <v>104</v>
      </c>
      <c r="I176" s="158">
        <v>3</v>
      </c>
      <c r="J176" s="186">
        <v>81</v>
      </c>
      <c r="K176" s="186">
        <v>0</v>
      </c>
      <c r="L176" s="186">
        <v>3</v>
      </c>
      <c r="M176" s="158">
        <v>84</v>
      </c>
      <c r="N176" s="158">
        <v>84</v>
      </c>
      <c r="O176" s="158">
        <v>3</v>
      </c>
      <c r="P176" s="186">
        <v>58</v>
      </c>
      <c r="Q176" s="186">
        <v>58</v>
      </c>
      <c r="R176" s="186">
        <v>3</v>
      </c>
      <c r="S176" s="158">
        <v>50</v>
      </c>
      <c r="T176" s="158">
        <v>50</v>
      </c>
      <c r="U176" s="158">
        <v>3</v>
      </c>
      <c r="V176" s="187">
        <f t="shared" si="12"/>
        <v>488</v>
      </c>
      <c r="W176" s="187">
        <f t="shared" si="10"/>
        <v>407</v>
      </c>
      <c r="X176" s="187">
        <f t="shared" si="11"/>
        <v>18</v>
      </c>
      <c r="Y176" s="254">
        <v>11</v>
      </c>
      <c r="Z176" s="254">
        <v>34</v>
      </c>
    </row>
    <row r="177" spans="1:26" ht="21.75" thickBot="1" x14ac:dyDescent="0.4">
      <c r="A177" s="7">
        <v>10</v>
      </c>
      <c r="B177" s="5" t="s">
        <v>695</v>
      </c>
      <c r="C177" s="203" t="s">
        <v>527</v>
      </c>
      <c r="D177" s="154">
        <v>0</v>
      </c>
      <c r="E177" s="154">
        <v>48</v>
      </c>
      <c r="F177" s="154">
        <v>2</v>
      </c>
      <c r="G177" s="255">
        <v>0</v>
      </c>
      <c r="H177" s="255">
        <v>45</v>
      </c>
      <c r="I177" s="255">
        <v>2</v>
      </c>
      <c r="J177" s="154">
        <v>0</v>
      </c>
      <c r="K177" s="154">
        <v>51</v>
      </c>
      <c r="L177" s="154">
        <v>2</v>
      </c>
      <c r="M177" s="255">
        <v>0</v>
      </c>
      <c r="N177" s="255">
        <v>53</v>
      </c>
      <c r="O177" s="255">
        <v>2</v>
      </c>
      <c r="P177" s="154">
        <v>0</v>
      </c>
      <c r="Q177" s="154">
        <v>51</v>
      </c>
      <c r="R177" s="154">
        <v>2</v>
      </c>
      <c r="S177" s="255">
        <v>0</v>
      </c>
      <c r="T177" s="255">
        <v>53</v>
      </c>
      <c r="U177" s="255">
        <v>2</v>
      </c>
      <c r="V177" s="187">
        <f t="shared" si="12"/>
        <v>0</v>
      </c>
      <c r="W177" s="187">
        <f t="shared" si="10"/>
        <v>301</v>
      </c>
      <c r="X177" s="187">
        <f t="shared" si="11"/>
        <v>12</v>
      </c>
      <c r="Y177" s="191">
        <v>2</v>
      </c>
      <c r="Z177" s="191">
        <v>22</v>
      </c>
    </row>
    <row r="178" spans="1:26" ht="21.75" thickBot="1" x14ac:dyDescent="0.4">
      <c r="A178" s="7">
        <v>11</v>
      </c>
      <c r="B178" s="5" t="s">
        <v>695</v>
      </c>
      <c r="C178" s="203" t="s">
        <v>528</v>
      </c>
      <c r="D178" s="256">
        <v>20</v>
      </c>
      <c r="E178" s="256">
        <v>26</v>
      </c>
      <c r="F178" s="154">
        <v>2</v>
      </c>
      <c r="G178" s="167">
        <v>13</v>
      </c>
      <c r="H178" s="193">
        <v>20</v>
      </c>
      <c r="I178" s="156">
        <v>1</v>
      </c>
      <c r="J178" s="166">
        <v>25</v>
      </c>
      <c r="K178" s="194">
        <v>15</v>
      </c>
      <c r="L178" s="154">
        <v>1</v>
      </c>
      <c r="M178" s="167">
        <v>18</v>
      </c>
      <c r="N178" s="193">
        <v>21</v>
      </c>
      <c r="O178" s="156">
        <v>1</v>
      </c>
      <c r="P178" s="166">
        <v>22</v>
      </c>
      <c r="Q178" s="194">
        <v>15</v>
      </c>
      <c r="R178" s="154">
        <v>1</v>
      </c>
      <c r="S178" s="257">
        <v>14</v>
      </c>
      <c r="T178" s="257">
        <v>24</v>
      </c>
      <c r="U178" s="156">
        <v>1</v>
      </c>
      <c r="V178" s="187">
        <f t="shared" si="12"/>
        <v>112</v>
      </c>
      <c r="W178" s="187">
        <f t="shared" si="10"/>
        <v>121</v>
      </c>
      <c r="X178" s="187">
        <f t="shared" si="11"/>
        <v>7</v>
      </c>
      <c r="Y178" s="258">
        <v>0</v>
      </c>
      <c r="Z178" s="170">
        <v>10</v>
      </c>
    </row>
    <row r="179" spans="1:26" ht="21" x14ac:dyDescent="0.35">
      <c r="A179" s="7">
        <v>12</v>
      </c>
      <c r="B179" s="5" t="s">
        <v>695</v>
      </c>
      <c r="C179" s="203" t="s">
        <v>529</v>
      </c>
      <c r="D179" s="259">
        <v>45</v>
      </c>
      <c r="E179" s="259">
        <v>0</v>
      </c>
      <c r="F179" s="259">
        <v>2</v>
      </c>
      <c r="G179" s="260">
        <v>46</v>
      </c>
      <c r="H179" s="260">
        <v>0</v>
      </c>
      <c r="I179" s="260">
        <v>2</v>
      </c>
      <c r="J179" s="259">
        <v>31</v>
      </c>
      <c r="K179" s="259">
        <v>0</v>
      </c>
      <c r="L179" s="259">
        <v>1</v>
      </c>
      <c r="M179" s="260">
        <v>23</v>
      </c>
      <c r="N179" s="260">
        <v>0</v>
      </c>
      <c r="O179" s="260">
        <v>1</v>
      </c>
      <c r="P179" s="259">
        <v>37</v>
      </c>
      <c r="Q179" s="259">
        <v>0</v>
      </c>
      <c r="R179" s="259">
        <v>2</v>
      </c>
      <c r="S179" s="260">
        <v>21</v>
      </c>
      <c r="T179" s="260">
        <v>0</v>
      </c>
      <c r="U179" s="260">
        <v>2</v>
      </c>
      <c r="V179" s="187">
        <f t="shared" si="12"/>
        <v>203</v>
      </c>
      <c r="W179" s="187">
        <f t="shared" si="10"/>
        <v>0</v>
      </c>
      <c r="X179" s="187">
        <f t="shared" si="11"/>
        <v>10</v>
      </c>
      <c r="Y179" s="165">
        <v>5</v>
      </c>
      <c r="Z179" s="165">
        <v>19</v>
      </c>
    </row>
    <row r="180" spans="1:26" ht="21" x14ac:dyDescent="0.35">
      <c r="A180" s="7">
        <v>13</v>
      </c>
      <c r="B180" s="5" t="s">
        <v>695</v>
      </c>
      <c r="C180" s="203" t="s">
        <v>530</v>
      </c>
      <c r="D180" s="166">
        <v>15</v>
      </c>
      <c r="E180" s="166">
        <v>31</v>
      </c>
      <c r="F180" s="172">
        <v>2</v>
      </c>
      <c r="G180" s="167">
        <v>25</v>
      </c>
      <c r="H180" s="167">
        <v>37</v>
      </c>
      <c r="I180" s="173">
        <v>2</v>
      </c>
      <c r="J180" s="166">
        <v>22</v>
      </c>
      <c r="K180" s="166">
        <v>44</v>
      </c>
      <c r="L180" s="172">
        <v>2</v>
      </c>
      <c r="M180" s="167">
        <v>20</v>
      </c>
      <c r="N180" s="167">
        <v>24</v>
      </c>
      <c r="O180" s="173">
        <v>2</v>
      </c>
      <c r="P180" s="166">
        <v>20</v>
      </c>
      <c r="Q180" s="166">
        <v>35</v>
      </c>
      <c r="R180" s="172">
        <v>2</v>
      </c>
      <c r="S180" s="167">
        <v>35</v>
      </c>
      <c r="T180" s="167">
        <v>54</v>
      </c>
      <c r="U180" s="173">
        <v>2</v>
      </c>
      <c r="V180" s="187">
        <f t="shared" si="12"/>
        <v>137</v>
      </c>
      <c r="W180" s="187">
        <f t="shared" si="10"/>
        <v>225</v>
      </c>
      <c r="X180" s="187">
        <f t="shared" si="11"/>
        <v>12</v>
      </c>
      <c r="Y180" s="170">
        <v>0</v>
      </c>
      <c r="Z180" s="170">
        <v>20</v>
      </c>
    </row>
    <row r="181" spans="1:26" ht="21" x14ac:dyDescent="0.35">
      <c r="A181" s="7">
        <v>14</v>
      </c>
      <c r="B181" s="5" t="s">
        <v>695</v>
      </c>
      <c r="C181" s="203" t="s">
        <v>531</v>
      </c>
      <c r="D181" s="166">
        <v>0</v>
      </c>
      <c r="E181" s="166">
        <v>216</v>
      </c>
      <c r="F181" s="172">
        <v>5</v>
      </c>
      <c r="G181" s="167">
        <v>0</v>
      </c>
      <c r="H181" s="167">
        <v>211</v>
      </c>
      <c r="I181" s="173">
        <v>5</v>
      </c>
      <c r="J181" s="166">
        <v>0</v>
      </c>
      <c r="K181" s="166">
        <v>175</v>
      </c>
      <c r="L181" s="172">
        <v>5</v>
      </c>
      <c r="M181" s="167">
        <v>0</v>
      </c>
      <c r="N181" s="167">
        <v>123</v>
      </c>
      <c r="O181" s="173">
        <v>4</v>
      </c>
      <c r="P181" s="166">
        <v>0</v>
      </c>
      <c r="Q181" s="166">
        <v>160</v>
      </c>
      <c r="R181" s="172">
        <v>4</v>
      </c>
      <c r="S181" s="167">
        <v>0</v>
      </c>
      <c r="T181" s="167">
        <v>90</v>
      </c>
      <c r="U181" s="173">
        <v>3</v>
      </c>
      <c r="V181" s="187">
        <f t="shared" si="12"/>
        <v>0</v>
      </c>
      <c r="W181" s="187">
        <f t="shared" si="10"/>
        <v>975</v>
      </c>
      <c r="X181" s="187">
        <f t="shared" si="11"/>
        <v>26</v>
      </c>
      <c r="Y181" s="170">
        <v>4</v>
      </c>
      <c r="Z181" s="170">
        <v>32</v>
      </c>
    </row>
    <row r="182" spans="1:26" ht="21" x14ac:dyDescent="0.35">
      <c r="A182" s="7">
        <v>15</v>
      </c>
      <c r="B182" s="5" t="s">
        <v>695</v>
      </c>
      <c r="C182" s="203" t="s">
        <v>532</v>
      </c>
      <c r="D182" s="166">
        <v>116</v>
      </c>
      <c r="E182" s="166">
        <v>83</v>
      </c>
      <c r="F182" s="154">
        <v>4</v>
      </c>
      <c r="G182" s="167">
        <v>45</v>
      </c>
      <c r="H182" s="167">
        <v>41</v>
      </c>
      <c r="I182" s="156">
        <v>2</v>
      </c>
      <c r="J182" s="166">
        <v>79</v>
      </c>
      <c r="K182" s="166">
        <v>64</v>
      </c>
      <c r="L182" s="154">
        <v>3</v>
      </c>
      <c r="M182" s="167">
        <v>83</v>
      </c>
      <c r="N182" s="167">
        <v>88</v>
      </c>
      <c r="O182" s="156">
        <v>4</v>
      </c>
      <c r="P182" s="166">
        <v>42</v>
      </c>
      <c r="Q182" s="166">
        <v>88</v>
      </c>
      <c r="R182" s="154">
        <v>3</v>
      </c>
      <c r="S182" s="167">
        <v>68</v>
      </c>
      <c r="T182" s="167">
        <v>65</v>
      </c>
      <c r="U182" s="156">
        <v>3</v>
      </c>
      <c r="V182" s="187">
        <f t="shared" si="12"/>
        <v>433</v>
      </c>
      <c r="W182" s="187">
        <f t="shared" si="10"/>
        <v>429</v>
      </c>
      <c r="X182" s="187">
        <f t="shared" si="11"/>
        <v>19</v>
      </c>
      <c r="Y182" s="170">
        <v>3</v>
      </c>
      <c r="Z182" s="170">
        <v>21</v>
      </c>
    </row>
    <row r="183" spans="1:26" ht="21" x14ac:dyDescent="0.35">
      <c r="A183" s="7">
        <v>16</v>
      </c>
      <c r="B183" s="5" t="s">
        <v>695</v>
      </c>
      <c r="C183" s="203" t="s">
        <v>533</v>
      </c>
      <c r="D183" s="186">
        <v>225</v>
      </c>
      <c r="E183" s="186">
        <v>226</v>
      </c>
      <c r="F183" s="186">
        <v>9</v>
      </c>
      <c r="G183" s="248">
        <v>194</v>
      </c>
      <c r="H183" s="248">
        <v>218</v>
      </c>
      <c r="I183" s="248">
        <v>11</v>
      </c>
      <c r="J183" s="186">
        <v>189</v>
      </c>
      <c r="K183" s="186">
        <v>219</v>
      </c>
      <c r="L183" s="186">
        <v>8</v>
      </c>
      <c r="M183" s="248">
        <v>170</v>
      </c>
      <c r="N183" s="248">
        <v>212</v>
      </c>
      <c r="O183" s="248">
        <v>8</v>
      </c>
      <c r="P183" s="186">
        <v>124</v>
      </c>
      <c r="Q183" s="186">
        <v>166</v>
      </c>
      <c r="R183" s="186">
        <v>8</v>
      </c>
      <c r="S183" s="248">
        <v>104</v>
      </c>
      <c r="T183" s="248">
        <v>137</v>
      </c>
      <c r="U183" s="248">
        <v>6</v>
      </c>
      <c r="V183" s="187">
        <f t="shared" si="12"/>
        <v>1006</v>
      </c>
      <c r="W183" s="187">
        <f t="shared" si="10"/>
        <v>1178</v>
      </c>
      <c r="X183" s="187">
        <f t="shared" si="11"/>
        <v>50</v>
      </c>
      <c r="Y183" s="249">
        <v>2</v>
      </c>
      <c r="Z183" s="249">
        <v>51</v>
      </c>
    </row>
    <row r="184" spans="1:26" ht="21" x14ac:dyDescent="0.35">
      <c r="A184" s="5">
        <v>1</v>
      </c>
      <c r="B184" s="5" t="s">
        <v>696</v>
      </c>
      <c r="C184" s="261" t="s">
        <v>535</v>
      </c>
      <c r="D184" s="166">
        <v>0</v>
      </c>
      <c r="E184" s="166">
        <v>195</v>
      </c>
      <c r="F184" s="154">
        <v>5</v>
      </c>
      <c r="G184" s="167">
        <v>0</v>
      </c>
      <c r="H184" s="167">
        <v>256</v>
      </c>
      <c r="I184" s="156">
        <v>6</v>
      </c>
      <c r="J184" s="166">
        <v>0</v>
      </c>
      <c r="K184" s="166">
        <v>260</v>
      </c>
      <c r="L184" s="154">
        <v>6</v>
      </c>
      <c r="M184" s="167">
        <v>0</v>
      </c>
      <c r="N184" s="167">
        <v>204</v>
      </c>
      <c r="O184" s="156">
        <v>6</v>
      </c>
      <c r="P184" s="166">
        <v>0</v>
      </c>
      <c r="Q184" s="166">
        <v>226</v>
      </c>
      <c r="R184" s="154">
        <v>6</v>
      </c>
      <c r="S184" s="167">
        <v>0</v>
      </c>
      <c r="T184" s="167">
        <v>186</v>
      </c>
      <c r="U184" s="156">
        <v>6</v>
      </c>
      <c r="V184" s="159">
        <f t="shared" si="12"/>
        <v>0</v>
      </c>
      <c r="W184" s="159">
        <f t="shared" si="10"/>
        <v>1327</v>
      </c>
      <c r="X184" s="159">
        <f t="shared" si="11"/>
        <v>35</v>
      </c>
      <c r="Y184" s="170">
        <v>6</v>
      </c>
      <c r="Z184" s="170">
        <v>52</v>
      </c>
    </row>
    <row r="185" spans="1:26" ht="21" x14ac:dyDescent="0.35">
      <c r="A185" s="5">
        <v>2</v>
      </c>
      <c r="B185" s="5" t="s">
        <v>696</v>
      </c>
      <c r="C185" s="261" t="s">
        <v>536</v>
      </c>
      <c r="D185" s="153"/>
      <c r="E185" s="153"/>
      <c r="F185" s="153"/>
      <c r="G185" s="262"/>
      <c r="H185" s="262"/>
      <c r="I185" s="262"/>
      <c r="J185" s="153"/>
      <c r="K185" s="153"/>
      <c r="L185" s="153"/>
      <c r="M185" s="262"/>
      <c r="N185" s="262"/>
      <c r="O185" s="262"/>
      <c r="P185" s="153"/>
      <c r="Q185" s="153"/>
      <c r="R185" s="153"/>
      <c r="S185" s="262"/>
      <c r="T185" s="262"/>
      <c r="U185" s="262"/>
      <c r="V185" s="159">
        <f t="shared" si="12"/>
        <v>0</v>
      </c>
      <c r="W185" s="159">
        <f t="shared" si="10"/>
        <v>0</v>
      </c>
      <c r="X185" s="159">
        <f t="shared" si="11"/>
        <v>0</v>
      </c>
      <c r="Y185" s="249"/>
      <c r="Z185" s="249"/>
    </row>
    <row r="186" spans="1:26" ht="21" x14ac:dyDescent="0.35">
      <c r="A186" s="5">
        <v>3</v>
      </c>
      <c r="B186" s="5" t="s">
        <v>696</v>
      </c>
      <c r="C186" s="261" t="s">
        <v>537</v>
      </c>
      <c r="D186" s="166">
        <v>0</v>
      </c>
      <c r="E186" s="166">
        <v>50</v>
      </c>
      <c r="F186" s="172">
        <v>2</v>
      </c>
      <c r="G186" s="167">
        <v>0</v>
      </c>
      <c r="H186" s="167">
        <v>43</v>
      </c>
      <c r="I186" s="173">
        <v>2</v>
      </c>
      <c r="J186" s="166">
        <v>0</v>
      </c>
      <c r="K186" s="166">
        <v>43</v>
      </c>
      <c r="L186" s="172">
        <v>2</v>
      </c>
      <c r="M186" s="167">
        <v>0</v>
      </c>
      <c r="N186" s="167">
        <v>58</v>
      </c>
      <c r="O186" s="173">
        <v>2</v>
      </c>
      <c r="P186" s="166">
        <v>0</v>
      </c>
      <c r="Q186" s="166">
        <v>37</v>
      </c>
      <c r="R186" s="172">
        <v>2</v>
      </c>
      <c r="S186" s="167">
        <v>0</v>
      </c>
      <c r="T186" s="167">
        <v>47</v>
      </c>
      <c r="U186" s="173">
        <v>2</v>
      </c>
      <c r="V186" s="159">
        <f t="shared" si="12"/>
        <v>0</v>
      </c>
      <c r="W186" s="159">
        <f t="shared" si="10"/>
        <v>278</v>
      </c>
      <c r="X186" s="159">
        <f t="shared" si="11"/>
        <v>12</v>
      </c>
      <c r="Y186" s="170">
        <v>4</v>
      </c>
      <c r="Z186" s="170">
        <v>16</v>
      </c>
    </row>
    <row r="187" spans="1:26" ht="21" x14ac:dyDescent="0.35">
      <c r="A187" s="5">
        <v>4</v>
      </c>
      <c r="B187" s="5" t="s">
        <v>696</v>
      </c>
      <c r="C187" s="261" t="s">
        <v>538</v>
      </c>
      <c r="D187" s="166">
        <v>0</v>
      </c>
      <c r="E187" s="166">
        <v>148</v>
      </c>
      <c r="F187" s="154">
        <v>3</v>
      </c>
      <c r="G187" s="168">
        <v>0</v>
      </c>
      <c r="H187" s="168">
        <v>109</v>
      </c>
      <c r="I187" s="163">
        <v>3</v>
      </c>
      <c r="J187" s="166">
        <v>0</v>
      </c>
      <c r="K187" s="166">
        <v>137</v>
      </c>
      <c r="L187" s="154">
        <v>3</v>
      </c>
      <c r="M187" s="168">
        <v>0</v>
      </c>
      <c r="N187" s="168">
        <v>120</v>
      </c>
      <c r="O187" s="168">
        <v>3</v>
      </c>
      <c r="P187" s="166">
        <v>0</v>
      </c>
      <c r="Q187" s="166">
        <v>98</v>
      </c>
      <c r="R187" s="166">
        <v>3</v>
      </c>
      <c r="S187" s="168">
        <v>0</v>
      </c>
      <c r="T187" s="168">
        <v>81</v>
      </c>
      <c r="U187" s="163">
        <v>2</v>
      </c>
      <c r="V187" s="159">
        <f t="shared" si="12"/>
        <v>0</v>
      </c>
      <c r="W187" s="159">
        <f t="shared" si="10"/>
        <v>693</v>
      </c>
      <c r="X187" s="159">
        <f t="shared" si="11"/>
        <v>17</v>
      </c>
      <c r="Y187" s="170">
        <v>1</v>
      </c>
      <c r="Z187" s="170">
        <v>17</v>
      </c>
    </row>
    <row r="188" spans="1:26" ht="21" x14ac:dyDescent="0.35">
      <c r="A188" s="5">
        <v>5</v>
      </c>
      <c r="B188" s="5" t="s">
        <v>696</v>
      </c>
      <c r="C188" s="261" t="s">
        <v>539</v>
      </c>
      <c r="D188" s="172">
        <v>222</v>
      </c>
      <c r="E188" s="172">
        <v>0</v>
      </c>
      <c r="F188" s="259">
        <v>6</v>
      </c>
      <c r="G188" s="173">
        <v>174</v>
      </c>
      <c r="H188" s="173">
        <v>0</v>
      </c>
      <c r="I188" s="260">
        <v>5</v>
      </c>
      <c r="J188" s="172">
        <v>145</v>
      </c>
      <c r="K188" s="172">
        <v>0</v>
      </c>
      <c r="L188" s="259">
        <v>4</v>
      </c>
      <c r="M188" s="173">
        <v>187</v>
      </c>
      <c r="N188" s="173">
        <v>0</v>
      </c>
      <c r="O188" s="260">
        <v>4</v>
      </c>
      <c r="P188" s="172">
        <v>140</v>
      </c>
      <c r="Q188" s="172">
        <v>0</v>
      </c>
      <c r="R188" s="259">
        <v>3</v>
      </c>
      <c r="S188" s="173">
        <v>125</v>
      </c>
      <c r="T188" s="173">
        <v>0</v>
      </c>
      <c r="U188" s="260">
        <v>3</v>
      </c>
      <c r="V188" s="159">
        <f t="shared" si="12"/>
        <v>993</v>
      </c>
      <c r="W188" s="159">
        <f t="shared" si="10"/>
        <v>0</v>
      </c>
      <c r="X188" s="159">
        <f t="shared" si="11"/>
        <v>25</v>
      </c>
      <c r="Y188" s="165">
        <v>7</v>
      </c>
      <c r="Z188" s="165">
        <v>16</v>
      </c>
    </row>
    <row r="189" spans="1:26" ht="21" x14ac:dyDescent="0.35">
      <c r="A189" s="5">
        <v>6</v>
      </c>
      <c r="B189" s="5" t="s">
        <v>696</v>
      </c>
      <c r="C189" s="261" t="s">
        <v>540</v>
      </c>
      <c r="D189" s="166">
        <v>39</v>
      </c>
      <c r="E189" s="166">
        <v>27</v>
      </c>
      <c r="F189" s="154">
        <v>2</v>
      </c>
      <c r="G189" s="167">
        <v>43</v>
      </c>
      <c r="H189" s="167">
        <v>15</v>
      </c>
      <c r="I189" s="156">
        <v>2</v>
      </c>
      <c r="J189" s="166">
        <v>51</v>
      </c>
      <c r="K189" s="166">
        <v>33</v>
      </c>
      <c r="L189" s="154">
        <v>3</v>
      </c>
      <c r="M189" s="167">
        <v>32</v>
      </c>
      <c r="N189" s="167">
        <v>43</v>
      </c>
      <c r="O189" s="156">
        <v>3</v>
      </c>
      <c r="P189" s="166">
        <v>31</v>
      </c>
      <c r="Q189" s="166">
        <v>37</v>
      </c>
      <c r="R189" s="154">
        <v>3</v>
      </c>
      <c r="S189" s="167">
        <v>36</v>
      </c>
      <c r="T189" s="167">
        <v>33</v>
      </c>
      <c r="U189" s="156">
        <v>3</v>
      </c>
      <c r="V189" s="159">
        <f t="shared" si="12"/>
        <v>232</v>
      </c>
      <c r="W189" s="159">
        <f t="shared" si="10"/>
        <v>188</v>
      </c>
      <c r="X189" s="159">
        <f t="shared" si="11"/>
        <v>16</v>
      </c>
      <c r="Y189" s="170">
        <v>1</v>
      </c>
      <c r="Z189" s="170">
        <v>1</v>
      </c>
    </row>
    <row r="190" spans="1:26" ht="21" x14ac:dyDescent="0.35">
      <c r="A190" s="5">
        <v>7</v>
      </c>
      <c r="B190" s="5" t="s">
        <v>696</v>
      </c>
      <c r="C190" s="261" t="s">
        <v>541</v>
      </c>
      <c r="D190" s="198">
        <v>72</v>
      </c>
      <c r="E190" s="198">
        <v>56</v>
      </c>
      <c r="F190" s="154">
        <v>3</v>
      </c>
      <c r="G190" s="200">
        <v>45</v>
      </c>
      <c r="H190" s="200">
        <v>33</v>
      </c>
      <c r="I190" s="156">
        <v>2</v>
      </c>
      <c r="J190" s="198">
        <v>40</v>
      </c>
      <c r="K190" s="198">
        <v>44</v>
      </c>
      <c r="L190" s="154">
        <v>2</v>
      </c>
      <c r="M190" s="200">
        <v>36</v>
      </c>
      <c r="N190" s="200">
        <v>35</v>
      </c>
      <c r="O190" s="156">
        <v>2</v>
      </c>
      <c r="P190" s="198">
        <v>37</v>
      </c>
      <c r="Q190" s="198">
        <v>36</v>
      </c>
      <c r="R190" s="154">
        <v>2</v>
      </c>
      <c r="S190" s="200">
        <v>19</v>
      </c>
      <c r="T190" s="200">
        <v>15</v>
      </c>
      <c r="U190" s="156">
        <v>1</v>
      </c>
      <c r="V190" s="159">
        <f t="shared" si="12"/>
        <v>249</v>
      </c>
      <c r="W190" s="159">
        <f t="shared" si="10"/>
        <v>219</v>
      </c>
      <c r="X190" s="159">
        <f t="shared" si="11"/>
        <v>12</v>
      </c>
      <c r="Y190" s="263">
        <v>1</v>
      </c>
      <c r="Z190" s="263">
        <v>17</v>
      </c>
    </row>
    <row r="191" spans="1:26" ht="21" x14ac:dyDescent="0.35">
      <c r="A191" s="5">
        <v>8</v>
      </c>
      <c r="B191" s="5" t="s">
        <v>696</v>
      </c>
      <c r="C191" s="261" t="s">
        <v>542</v>
      </c>
      <c r="D191" s="166">
        <v>25</v>
      </c>
      <c r="E191" s="166">
        <v>13</v>
      </c>
      <c r="F191" s="154">
        <v>1</v>
      </c>
      <c r="G191" s="167">
        <v>23</v>
      </c>
      <c r="H191" s="167">
        <v>19</v>
      </c>
      <c r="I191" s="156">
        <v>1</v>
      </c>
      <c r="J191" s="166">
        <v>35</v>
      </c>
      <c r="K191" s="166">
        <v>16</v>
      </c>
      <c r="L191" s="154">
        <v>1</v>
      </c>
      <c r="M191" s="156">
        <v>21</v>
      </c>
      <c r="N191" s="156">
        <v>22</v>
      </c>
      <c r="O191" s="156">
        <v>1</v>
      </c>
      <c r="P191" s="166">
        <v>31</v>
      </c>
      <c r="Q191" s="166">
        <v>19</v>
      </c>
      <c r="R191" s="154">
        <v>1</v>
      </c>
      <c r="S191" s="167">
        <v>70</v>
      </c>
      <c r="T191" s="167">
        <v>60</v>
      </c>
      <c r="U191" s="156">
        <v>3</v>
      </c>
      <c r="V191" s="159">
        <f t="shared" si="12"/>
        <v>205</v>
      </c>
      <c r="W191" s="159">
        <f t="shared" si="10"/>
        <v>149</v>
      </c>
      <c r="X191" s="159">
        <f t="shared" si="11"/>
        <v>8</v>
      </c>
      <c r="Y191" s="170">
        <v>3</v>
      </c>
      <c r="Z191" s="170">
        <v>17</v>
      </c>
    </row>
    <row r="192" spans="1:26" ht="21" x14ac:dyDescent="0.35">
      <c r="A192" s="5">
        <v>9</v>
      </c>
      <c r="B192" s="5" t="s">
        <v>696</v>
      </c>
      <c r="C192" s="261" t="s">
        <v>543</v>
      </c>
      <c r="D192" s="169">
        <v>53</v>
      </c>
      <c r="E192" s="154">
        <v>60</v>
      </c>
      <c r="F192" s="154">
        <v>2</v>
      </c>
      <c r="G192" s="156">
        <v>40</v>
      </c>
      <c r="H192" s="156">
        <v>51</v>
      </c>
      <c r="I192" s="156">
        <v>2</v>
      </c>
      <c r="J192" s="154">
        <v>46</v>
      </c>
      <c r="K192" s="154">
        <v>63</v>
      </c>
      <c r="L192" s="154">
        <v>2</v>
      </c>
      <c r="M192" s="156">
        <v>41</v>
      </c>
      <c r="N192" s="156">
        <v>44</v>
      </c>
      <c r="O192" s="156">
        <v>2</v>
      </c>
      <c r="P192" s="154">
        <v>20</v>
      </c>
      <c r="Q192" s="154">
        <v>38</v>
      </c>
      <c r="R192" s="154">
        <v>2</v>
      </c>
      <c r="S192" s="156">
        <v>45</v>
      </c>
      <c r="T192" s="156">
        <v>59</v>
      </c>
      <c r="U192" s="156">
        <v>2</v>
      </c>
      <c r="V192" s="159">
        <f t="shared" si="12"/>
        <v>245</v>
      </c>
      <c r="W192" s="159">
        <f t="shared" si="10"/>
        <v>315</v>
      </c>
      <c r="X192" s="159">
        <f t="shared" si="11"/>
        <v>12</v>
      </c>
      <c r="Y192" s="191">
        <v>4</v>
      </c>
      <c r="Z192" s="191">
        <v>15</v>
      </c>
    </row>
    <row r="193" spans="1:26" ht="21" x14ac:dyDescent="0.35">
      <c r="A193" s="5">
        <v>10</v>
      </c>
      <c r="B193" s="5" t="s">
        <v>696</v>
      </c>
      <c r="C193" s="261" t="s">
        <v>544</v>
      </c>
      <c r="D193" s="166">
        <v>0</v>
      </c>
      <c r="E193" s="166">
        <v>41</v>
      </c>
      <c r="F193" s="166">
        <v>1</v>
      </c>
      <c r="G193" s="167">
        <v>0</v>
      </c>
      <c r="H193" s="167">
        <v>32</v>
      </c>
      <c r="I193" s="167">
        <v>1</v>
      </c>
      <c r="J193" s="166">
        <v>0</v>
      </c>
      <c r="K193" s="166">
        <v>50</v>
      </c>
      <c r="L193" s="166">
        <v>2</v>
      </c>
      <c r="M193" s="167">
        <v>0</v>
      </c>
      <c r="N193" s="167">
        <v>55</v>
      </c>
      <c r="O193" s="167">
        <v>2</v>
      </c>
      <c r="P193" s="166">
        <v>0</v>
      </c>
      <c r="Q193" s="166">
        <v>53</v>
      </c>
      <c r="R193" s="166">
        <v>2</v>
      </c>
      <c r="S193" s="167">
        <v>0</v>
      </c>
      <c r="T193" s="167">
        <v>43</v>
      </c>
      <c r="U193" s="167">
        <v>2</v>
      </c>
      <c r="V193" s="159">
        <f t="shared" si="12"/>
        <v>0</v>
      </c>
      <c r="W193" s="159">
        <f t="shared" si="10"/>
        <v>274</v>
      </c>
      <c r="X193" s="159">
        <f t="shared" si="11"/>
        <v>10</v>
      </c>
      <c r="Y193" s="264">
        <v>4</v>
      </c>
      <c r="Z193" s="264">
        <v>10</v>
      </c>
    </row>
    <row r="194" spans="1:26" ht="21" x14ac:dyDescent="0.35">
      <c r="A194" s="5">
        <v>11</v>
      </c>
      <c r="B194" s="5" t="s">
        <v>696</v>
      </c>
      <c r="C194" s="261" t="s">
        <v>545</v>
      </c>
      <c r="D194" s="199">
        <v>140</v>
      </c>
      <c r="E194" s="199">
        <v>0</v>
      </c>
      <c r="F194" s="265">
        <v>3</v>
      </c>
      <c r="G194" s="266">
        <v>111</v>
      </c>
      <c r="H194" s="266">
        <v>0</v>
      </c>
      <c r="I194" s="267">
        <v>3</v>
      </c>
      <c r="J194" s="199">
        <v>105</v>
      </c>
      <c r="K194" s="199">
        <v>0</v>
      </c>
      <c r="L194" s="265">
        <v>3</v>
      </c>
      <c r="M194" s="266">
        <v>103</v>
      </c>
      <c r="N194" s="266">
        <v>0</v>
      </c>
      <c r="O194" s="267">
        <v>3</v>
      </c>
      <c r="P194" s="199">
        <v>78</v>
      </c>
      <c r="Q194" s="199">
        <v>0</v>
      </c>
      <c r="R194" s="265">
        <v>2</v>
      </c>
      <c r="S194" s="266">
        <v>79</v>
      </c>
      <c r="T194" s="266">
        <v>0</v>
      </c>
      <c r="U194" s="267">
        <v>2</v>
      </c>
      <c r="V194" s="159">
        <f t="shared" si="12"/>
        <v>616</v>
      </c>
      <c r="W194" s="159">
        <f t="shared" si="10"/>
        <v>0</v>
      </c>
      <c r="X194" s="159">
        <f t="shared" si="11"/>
        <v>16</v>
      </c>
      <c r="Y194" s="268">
        <v>5</v>
      </c>
      <c r="Z194" s="268">
        <v>28</v>
      </c>
    </row>
    <row r="195" spans="1:26" ht="21" x14ac:dyDescent="0.35">
      <c r="A195" s="5">
        <v>12</v>
      </c>
      <c r="B195" s="5" t="s">
        <v>696</v>
      </c>
      <c r="C195" s="261" t="s">
        <v>546</v>
      </c>
      <c r="D195" s="169">
        <v>57</v>
      </c>
      <c r="E195" s="154">
        <v>0</v>
      </c>
      <c r="F195" s="154">
        <v>2</v>
      </c>
      <c r="G195" s="156">
        <v>85</v>
      </c>
      <c r="H195" s="156">
        <v>0</v>
      </c>
      <c r="I195" s="156">
        <v>2</v>
      </c>
      <c r="J195" s="154">
        <v>85</v>
      </c>
      <c r="K195" s="154">
        <v>0</v>
      </c>
      <c r="L195" s="154">
        <v>2</v>
      </c>
      <c r="M195" s="158">
        <v>42</v>
      </c>
      <c r="N195" s="156">
        <v>0</v>
      </c>
      <c r="O195" s="156">
        <v>1</v>
      </c>
      <c r="P195" s="154">
        <v>30</v>
      </c>
      <c r="Q195" s="154">
        <v>0</v>
      </c>
      <c r="R195" s="154">
        <v>2</v>
      </c>
      <c r="S195" s="156">
        <v>31</v>
      </c>
      <c r="T195" s="156">
        <v>0</v>
      </c>
      <c r="U195" s="156">
        <v>2</v>
      </c>
      <c r="V195" s="159">
        <f t="shared" si="12"/>
        <v>330</v>
      </c>
      <c r="W195" s="159">
        <f t="shared" si="10"/>
        <v>0</v>
      </c>
      <c r="X195" s="159">
        <f t="shared" si="11"/>
        <v>11</v>
      </c>
      <c r="Y195" s="269">
        <v>4</v>
      </c>
      <c r="Z195" s="269">
        <v>17</v>
      </c>
    </row>
    <row r="196" spans="1:26" ht="21" x14ac:dyDescent="0.35">
      <c r="A196" s="5">
        <v>13</v>
      </c>
      <c r="B196" s="5" t="s">
        <v>696</v>
      </c>
      <c r="C196" s="261" t="s">
        <v>547</v>
      </c>
      <c r="D196" s="166">
        <v>0</v>
      </c>
      <c r="E196" s="166">
        <v>142</v>
      </c>
      <c r="F196" s="154">
        <v>3</v>
      </c>
      <c r="G196" s="167">
        <v>0</v>
      </c>
      <c r="H196" s="167">
        <v>106</v>
      </c>
      <c r="I196" s="156">
        <v>3</v>
      </c>
      <c r="J196" s="166">
        <v>0</v>
      </c>
      <c r="K196" s="166">
        <v>125</v>
      </c>
      <c r="L196" s="154">
        <v>3</v>
      </c>
      <c r="M196" s="167">
        <v>0</v>
      </c>
      <c r="N196" s="167">
        <v>90</v>
      </c>
      <c r="O196" s="156">
        <v>2</v>
      </c>
      <c r="P196" s="166">
        <v>0</v>
      </c>
      <c r="Q196" s="166">
        <v>83</v>
      </c>
      <c r="R196" s="154">
        <v>2</v>
      </c>
      <c r="S196" s="167">
        <v>0</v>
      </c>
      <c r="T196" s="167">
        <v>102</v>
      </c>
      <c r="U196" s="156">
        <v>2</v>
      </c>
      <c r="V196" s="159">
        <f t="shared" si="12"/>
        <v>0</v>
      </c>
      <c r="W196" s="159">
        <f t="shared" si="10"/>
        <v>648</v>
      </c>
      <c r="X196" s="159">
        <f t="shared" si="11"/>
        <v>15</v>
      </c>
      <c r="Y196" s="170">
        <v>1</v>
      </c>
      <c r="Z196" s="170">
        <v>16</v>
      </c>
    </row>
    <row r="197" spans="1:26" ht="21" x14ac:dyDescent="0.35">
      <c r="A197" s="5">
        <v>1</v>
      </c>
      <c r="B197" s="5" t="s">
        <v>697</v>
      </c>
      <c r="C197" s="247" t="s">
        <v>549</v>
      </c>
      <c r="D197" s="186">
        <v>26</v>
      </c>
      <c r="E197" s="186">
        <v>1</v>
      </c>
      <c r="F197" s="186">
        <v>1</v>
      </c>
      <c r="G197" s="248">
        <v>19</v>
      </c>
      <c r="H197" s="248">
        <v>7</v>
      </c>
      <c r="I197" s="248">
        <v>1</v>
      </c>
      <c r="J197" s="186">
        <v>18</v>
      </c>
      <c r="K197" s="186">
        <v>10</v>
      </c>
      <c r="L197" s="186">
        <v>1</v>
      </c>
      <c r="M197" s="248">
        <v>16</v>
      </c>
      <c r="N197" s="248">
        <v>8</v>
      </c>
      <c r="O197" s="248">
        <v>1</v>
      </c>
      <c r="P197" s="186">
        <v>14</v>
      </c>
      <c r="Q197" s="186">
        <v>11</v>
      </c>
      <c r="R197" s="186">
        <v>1</v>
      </c>
      <c r="S197" s="248">
        <v>27</v>
      </c>
      <c r="T197" s="248">
        <v>24</v>
      </c>
      <c r="U197" s="248">
        <v>1</v>
      </c>
      <c r="V197" s="187">
        <f t="shared" si="12"/>
        <v>120</v>
      </c>
      <c r="W197" s="187">
        <f t="shared" si="10"/>
        <v>61</v>
      </c>
      <c r="X197" s="187">
        <f t="shared" si="11"/>
        <v>6</v>
      </c>
      <c r="Y197" s="160">
        <v>5</v>
      </c>
      <c r="Z197" s="160">
        <v>5</v>
      </c>
    </row>
    <row r="198" spans="1:26" ht="21" x14ac:dyDescent="0.35">
      <c r="A198" s="5">
        <v>2</v>
      </c>
      <c r="B198" s="5" t="s">
        <v>697</v>
      </c>
      <c r="C198" s="247" t="s">
        <v>550</v>
      </c>
      <c r="D198" s="166">
        <v>22</v>
      </c>
      <c r="E198" s="166">
        <v>14</v>
      </c>
      <c r="F198" s="154">
        <v>1</v>
      </c>
      <c r="G198" s="192">
        <v>12</v>
      </c>
      <c r="H198" s="192">
        <v>8</v>
      </c>
      <c r="I198" s="251">
        <v>1</v>
      </c>
      <c r="J198" s="166">
        <v>8</v>
      </c>
      <c r="K198" s="166">
        <v>11</v>
      </c>
      <c r="L198" s="154">
        <v>1</v>
      </c>
      <c r="M198" s="192">
        <v>9</v>
      </c>
      <c r="N198" s="192">
        <v>12</v>
      </c>
      <c r="O198" s="251">
        <v>1</v>
      </c>
      <c r="P198" s="166">
        <v>6</v>
      </c>
      <c r="Q198" s="166">
        <v>10</v>
      </c>
      <c r="R198" s="154">
        <v>1</v>
      </c>
      <c r="S198" s="192">
        <v>11</v>
      </c>
      <c r="T198" s="192">
        <v>31</v>
      </c>
      <c r="U198" s="251">
        <v>1</v>
      </c>
      <c r="V198" s="187">
        <f t="shared" si="12"/>
        <v>68</v>
      </c>
      <c r="W198" s="187">
        <f t="shared" si="10"/>
        <v>86</v>
      </c>
      <c r="X198" s="187">
        <f t="shared" si="11"/>
        <v>6</v>
      </c>
      <c r="Y198" s="170">
        <v>2</v>
      </c>
      <c r="Z198" s="170">
        <v>12</v>
      </c>
    </row>
    <row r="199" spans="1:26" ht="21" x14ac:dyDescent="0.35">
      <c r="A199" s="5">
        <v>3</v>
      </c>
      <c r="B199" s="5" t="s">
        <v>697</v>
      </c>
      <c r="C199" s="247" t="s">
        <v>551</v>
      </c>
      <c r="D199" s="186">
        <v>23</v>
      </c>
      <c r="E199" s="186">
        <v>22</v>
      </c>
      <c r="F199" s="186">
        <v>1</v>
      </c>
      <c r="G199" s="248">
        <v>18</v>
      </c>
      <c r="H199" s="248">
        <v>24</v>
      </c>
      <c r="I199" s="248">
        <v>1</v>
      </c>
      <c r="J199" s="186">
        <v>13</v>
      </c>
      <c r="K199" s="186">
        <v>27</v>
      </c>
      <c r="L199" s="186">
        <v>1</v>
      </c>
      <c r="M199" s="248">
        <v>34</v>
      </c>
      <c r="N199" s="248">
        <v>24</v>
      </c>
      <c r="O199" s="248">
        <v>1</v>
      </c>
      <c r="P199" s="186">
        <v>34</v>
      </c>
      <c r="Q199" s="186">
        <v>24</v>
      </c>
      <c r="R199" s="186">
        <v>1</v>
      </c>
      <c r="S199" s="248">
        <v>34</v>
      </c>
      <c r="T199" s="248">
        <v>41</v>
      </c>
      <c r="U199" s="248">
        <v>2</v>
      </c>
      <c r="V199" s="187">
        <f t="shared" si="12"/>
        <v>156</v>
      </c>
      <c r="W199" s="187">
        <f t="shared" si="10"/>
        <v>162</v>
      </c>
      <c r="X199" s="187">
        <f t="shared" si="11"/>
        <v>7</v>
      </c>
      <c r="Y199" s="160">
        <v>2</v>
      </c>
      <c r="Z199" s="160">
        <v>23</v>
      </c>
    </row>
    <row r="200" spans="1:26" ht="21" x14ac:dyDescent="0.35">
      <c r="A200" s="5">
        <v>4</v>
      </c>
      <c r="B200" s="5" t="s">
        <v>697</v>
      </c>
      <c r="C200" s="247" t="s">
        <v>552</v>
      </c>
      <c r="D200" s="166">
        <v>90</v>
      </c>
      <c r="E200" s="166">
        <v>103</v>
      </c>
      <c r="F200" s="154">
        <v>5</v>
      </c>
      <c r="G200" s="192">
        <v>80</v>
      </c>
      <c r="H200" s="192">
        <v>70</v>
      </c>
      <c r="I200" s="251">
        <v>4</v>
      </c>
      <c r="J200" s="166">
        <v>107</v>
      </c>
      <c r="K200" s="166">
        <v>115</v>
      </c>
      <c r="L200" s="154">
        <v>5</v>
      </c>
      <c r="M200" s="192">
        <v>103</v>
      </c>
      <c r="N200" s="192">
        <v>107</v>
      </c>
      <c r="O200" s="251">
        <v>5</v>
      </c>
      <c r="P200" s="216">
        <v>68</v>
      </c>
      <c r="Q200" s="216">
        <v>70</v>
      </c>
      <c r="R200" s="154">
        <v>4</v>
      </c>
      <c r="S200" s="192">
        <v>65</v>
      </c>
      <c r="T200" s="192">
        <v>67</v>
      </c>
      <c r="U200" s="251">
        <v>2</v>
      </c>
      <c r="V200" s="187">
        <f t="shared" si="12"/>
        <v>513</v>
      </c>
      <c r="W200" s="187">
        <f t="shared" si="10"/>
        <v>532</v>
      </c>
      <c r="X200" s="187">
        <f t="shared" si="11"/>
        <v>25</v>
      </c>
      <c r="Y200" s="170">
        <v>2</v>
      </c>
      <c r="Z200" s="170">
        <v>59</v>
      </c>
    </row>
    <row r="201" spans="1:26" ht="21" x14ac:dyDescent="0.35">
      <c r="A201" s="5">
        <v>5</v>
      </c>
      <c r="B201" s="5" t="s">
        <v>697</v>
      </c>
      <c r="C201" s="247" t="s">
        <v>553</v>
      </c>
      <c r="D201" s="270">
        <v>39</v>
      </c>
      <c r="E201" s="270">
        <v>26</v>
      </c>
      <c r="F201" s="154">
        <v>2</v>
      </c>
      <c r="G201" s="192">
        <v>33</v>
      </c>
      <c r="H201" s="192">
        <v>30</v>
      </c>
      <c r="I201" s="251">
        <v>1</v>
      </c>
      <c r="J201" s="166">
        <v>16</v>
      </c>
      <c r="K201" s="166">
        <v>19</v>
      </c>
      <c r="L201" s="154">
        <v>1</v>
      </c>
      <c r="M201" s="192">
        <v>12</v>
      </c>
      <c r="N201" s="192">
        <v>12</v>
      </c>
      <c r="O201" s="251">
        <v>1</v>
      </c>
      <c r="P201" s="166">
        <v>16</v>
      </c>
      <c r="Q201" s="166">
        <v>7</v>
      </c>
      <c r="R201" s="154">
        <v>1</v>
      </c>
      <c r="S201" s="226">
        <v>20</v>
      </c>
      <c r="T201" s="226">
        <v>13</v>
      </c>
      <c r="U201" s="251">
        <v>1</v>
      </c>
      <c r="V201" s="187">
        <f t="shared" si="12"/>
        <v>136</v>
      </c>
      <c r="W201" s="187">
        <f t="shared" si="10"/>
        <v>107</v>
      </c>
      <c r="X201" s="187">
        <f t="shared" si="11"/>
        <v>7</v>
      </c>
      <c r="Y201" s="170">
        <v>3</v>
      </c>
      <c r="Z201" s="170">
        <v>14</v>
      </c>
    </row>
    <row r="202" spans="1:26" ht="21" x14ac:dyDescent="0.35">
      <c r="A202" s="5">
        <v>6</v>
      </c>
      <c r="B202" s="5" t="s">
        <v>697</v>
      </c>
      <c r="C202" s="247" t="s">
        <v>554</v>
      </c>
      <c r="D202" s="227">
        <v>119</v>
      </c>
      <c r="E202" s="227">
        <v>125</v>
      </c>
      <c r="F202" s="227">
        <v>5</v>
      </c>
      <c r="G202" s="271">
        <v>80</v>
      </c>
      <c r="H202" s="271">
        <v>124</v>
      </c>
      <c r="I202" s="271">
        <v>4</v>
      </c>
      <c r="J202" s="227">
        <v>80</v>
      </c>
      <c r="K202" s="227">
        <v>94</v>
      </c>
      <c r="L202" s="227">
        <v>4</v>
      </c>
      <c r="M202" s="271">
        <v>68</v>
      </c>
      <c r="N202" s="271">
        <v>92</v>
      </c>
      <c r="O202" s="271">
        <v>3</v>
      </c>
      <c r="P202" s="227">
        <v>30</v>
      </c>
      <c r="Q202" s="227">
        <v>41</v>
      </c>
      <c r="R202" s="227">
        <v>2</v>
      </c>
      <c r="S202" s="271">
        <v>40</v>
      </c>
      <c r="T202" s="271">
        <v>111</v>
      </c>
      <c r="U202" s="271">
        <v>2</v>
      </c>
      <c r="V202" s="187">
        <f t="shared" si="12"/>
        <v>417</v>
      </c>
      <c r="W202" s="187">
        <f t="shared" si="10"/>
        <v>587</v>
      </c>
      <c r="X202" s="187">
        <f t="shared" si="11"/>
        <v>20</v>
      </c>
      <c r="Y202" s="197">
        <v>4</v>
      </c>
      <c r="Z202" s="197">
        <v>19</v>
      </c>
    </row>
    <row r="203" spans="1:26" ht="21" x14ac:dyDescent="0.35">
      <c r="A203" s="5">
        <v>7</v>
      </c>
      <c r="B203" s="5" t="s">
        <v>697</v>
      </c>
      <c r="C203" s="247" t="s">
        <v>555</v>
      </c>
      <c r="D203" s="154">
        <v>185</v>
      </c>
      <c r="E203" s="154">
        <v>131</v>
      </c>
      <c r="F203" s="154">
        <v>5</v>
      </c>
      <c r="G203" s="251">
        <v>156</v>
      </c>
      <c r="H203" s="251">
        <v>140</v>
      </c>
      <c r="I203" s="251">
        <v>5</v>
      </c>
      <c r="J203" s="154">
        <v>145</v>
      </c>
      <c r="K203" s="154">
        <v>125</v>
      </c>
      <c r="L203" s="154">
        <v>5</v>
      </c>
      <c r="M203" s="251">
        <v>119</v>
      </c>
      <c r="N203" s="251">
        <v>142</v>
      </c>
      <c r="O203" s="251">
        <v>5</v>
      </c>
      <c r="P203" s="154">
        <v>121</v>
      </c>
      <c r="Q203" s="154">
        <v>143</v>
      </c>
      <c r="R203" s="154">
        <v>5</v>
      </c>
      <c r="S203" s="251">
        <v>82</v>
      </c>
      <c r="T203" s="251">
        <v>113</v>
      </c>
      <c r="U203" s="251">
        <v>5</v>
      </c>
      <c r="V203" s="187">
        <f t="shared" si="12"/>
        <v>808</v>
      </c>
      <c r="W203" s="187">
        <f t="shared" si="10"/>
        <v>794</v>
      </c>
      <c r="X203" s="187">
        <f t="shared" si="11"/>
        <v>30</v>
      </c>
      <c r="Y203" s="191">
        <v>6</v>
      </c>
      <c r="Z203" s="191">
        <v>43</v>
      </c>
    </row>
    <row r="204" spans="1:26" ht="21" x14ac:dyDescent="0.35">
      <c r="A204" s="5">
        <v>8</v>
      </c>
      <c r="B204" s="5" t="s">
        <v>697</v>
      </c>
      <c r="C204" s="247" t="s">
        <v>556</v>
      </c>
      <c r="D204" s="166">
        <v>0</v>
      </c>
      <c r="E204" s="166">
        <v>84</v>
      </c>
      <c r="F204" s="154">
        <v>2</v>
      </c>
      <c r="G204" s="167">
        <v>0</v>
      </c>
      <c r="H204" s="167">
        <v>86</v>
      </c>
      <c r="I204" s="156">
        <v>3</v>
      </c>
      <c r="J204" s="166">
        <v>0</v>
      </c>
      <c r="K204" s="166">
        <v>77</v>
      </c>
      <c r="L204" s="154">
        <v>2</v>
      </c>
      <c r="M204" s="167">
        <v>0</v>
      </c>
      <c r="N204" s="167">
        <v>75</v>
      </c>
      <c r="O204" s="156">
        <v>2</v>
      </c>
      <c r="P204" s="166">
        <v>0</v>
      </c>
      <c r="Q204" s="166">
        <v>92</v>
      </c>
      <c r="R204" s="154">
        <v>3</v>
      </c>
      <c r="S204" s="192">
        <v>0</v>
      </c>
      <c r="T204" s="192">
        <v>92</v>
      </c>
      <c r="U204" s="251">
        <v>3</v>
      </c>
      <c r="V204" s="187">
        <f t="shared" si="12"/>
        <v>0</v>
      </c>
      <c r="W204" s="187">
        <f t="shared" si="10"/>
        <v>506</v>
      </c>
      <c r="X204" s="187">
        <f t="shared" si="11"/>
        <v>15</v>
      </c>
      <c r="Y204" s="170">
        <v>0</v>
      </c>
      <c r="Z204" s="170">
        <v>21</v>
      </c>
    </row>
    <row r="205" spans="1:26" ht="21" x14ac:dyDescent="0.35">
      <c r="A205" s="7">
        <v>9</v>
      </c>
      <c r="B205" s="5" t="s">
        <v>697</v>
      </c>
      <c r="C205" s="203" t="s">
        <v>557</v>
      </c>
      <c r="D205" s="198">
        <v>30</v>
      </c>
      <c r="E205" s="198">
        <v>30</v>
      </c>
      <c r="F205" s="186">
        <v>2</v>
      </c>
      <c r="G205" s="200">
        <v>26</v>
      </c>
      <c r="H205" s="200">
        <v>34</v>
      </c>
      <c r="I205" s="158">
        <v>2</v>
      </c>
      <c r="J205" s="198">
        <v>34</v>
      </c>
      <c r="K205" s="198">
        <v>34</v>
      </c>
      <c r="L205" s="186">
        <v>2</v>
      </c>
      <c r="M205" s="200">
        <v>23</v>
      </c>
      <c r="N205" s="200">
        <v>27</v>
      </c>
      <c r="O205" s="158">
        <v>2</v>
      </c>
      <c r="P205" s="198">
        <v>54</v>
      </c>
      <c r="Q205" s="198">
        <v>22</v>
      </c>
      <c r="R205" s="186">
        <v>2</v>
      </c>
      <c r="S205" s="200">
        <v>40</v>
      </c>
      <c r="T205" s="200">
        <v>42</v>
      </c>
      <c r="U205" s="158">
        <v>2</v>
      </c>
      <c r="V205" s="187">
        <f t="shared" si="12"/>
        <v>207</v>
      </c>
      <c r="W205" s="187">
        <f t="shared" si="10"/>
        <v>189</v>
      </c>
      <c r="X205" s="187">
        <f t="shared" si="11"/>
        <v>12</v>
      </c>
      <c r="Y205" s="170">
        <v>1</v>
      </c>
      <c r="Z205" s="170">
        <v>17</v>
      </c>
    </row>
    <row r="206" spans="1:26" ht="21" x14ac:dyDescent="0.35">
      <c r="A206" s="4">
        <v>10</v>
      </c>
      <c r="B206" s="5" t="s">
        <v>697</v>
      </c>
      <c r="C206" s="247" t="s">
        <v>558</v>
      </c>
      <c r="D206" s="166">
        <v>37</v>
      </c>
      <c r="E206" s="166">
        <v>34</v>
      </c>
      <c r="F206" s="154">
        <v>2</v>
      </c>
      <c r="G206" s="156">
        <v>25</v>
      </c>
      <c r="H206" s="156">
        <v>22</v>
      </c>
      <c r="I206" s="156">
        <v>1</v>
      </c>
      <c r="J206" s="166">
        <v>29</v>
      </c>
      <c r="K206" s="166">
        <v>27</v>
      </c>
      <c r="L206" s="154">
        <v>1</v>
      </c>
      <c r="M206" s="167">
        <v>24</v>
      </c>
      <c r="N206" s="167">
        <v>23</v>
      </c>
      <c r="O206" s="156">
        <v>1</v>
      </c>
      <c r="P206" s="166">
        <v>21</v>
      </c>
      <c r="Q206" s="166">
        <v>18</v>
      </c>
      <c r="R206" s="154">
        <v>1</v>
      </c>
      <c r="S206" s="167">
        <v>25</v>
      </c>
      <c r="T206" s="167">
        <v>40</v>
      </c>
      <c r="U206" s="156">
        <v>2</v>
      </c>
      <c r="V206" s="187">
        <f t="shared" si="12"/>
        <v>161</v>
      </c>
      <c r="W206" s="187">
        <f t="shared" si="10"/>
        <v>164</v>
      </c>
      <c r="X206" s="187">
        <f t="shared" si="11"/>
        <v>8</v>
      </c>
      <c r="Y206" s="170">
        <v>1</v>
      </c>
      <c r="Z206" s="170">
        <v>12</v>
      </c>
    </row>
    <row r="207" spans="1:26" ht="21" x14ac:dyDescent="0.35">
      <c r="A207" s="10">
        <v>11</v>
      </c>
      <c r="B207" s="5" t="s">
        <v>697</v>
      </c>
      <c r="C207" s="247" t="s">
        <v>559</v>
      </c>
      <c r="D207" s="272">
        <v>0</v>
      </c>
      <c r="E207" s="272" t="s">
        <v>655</v>
      </c>
      <c r="F207" s="154">
        <v>2</v>
      </c>
      <c r="G207" s="273">
        <v>0</v>
      </c>
      <c r="H207" s="273" t="s">
        <v>656</v>
      </c>
      <c r="I207" s="156" t="s">
        <v>654</v>
      </c>
      <c r="J207" s="272">
        <v>0</v>
      </c>
      <c r="K207" s="272" t="s">
        <v>657</v>
      </c>
      <c r="L207" s="154" t="s">
        <v>654</v>
      </c>
      <c r="M207" s="273">
        <v>0</v>
      </c>
      <c r="N207" s="273" t="s">
        <v>658</v>
      </c>
      <c r="O207" s="156" t="s">
        <v>654</v>
      </c>
      <c r="P207" s="272">
        <v>0</v>
      </c>
      <c r="Q207" s="272" t="s">
        <v>659</v>
      </c>
      <c r="R207" s="154" t="s">
        <v>660</v>
      </c>
      <c r="S207" s="273">
        <v>0</v>
      </c>
      <c r="T207" s="273" t="s">
        <v>46</v>
      </c>
      <c r="U207" s="156" t="s">
        <v>660</v>
      </c>
      <c r="V207" s="187">
        <f t="shared" si="12"/>
        <v>0</v>
      </c>
      <c r="W207" s="187">
        <f t="shared" si="10"/>
        <v>369</v>
      </c>
      <c r="X207" s="187">
        <f t="shared" si="11"/>
        <v>10</v>
      </c>
      <c r="Y207" s="274">
        <v>0</v>
      </c>
      <c r="Z207" s="274">
        <v>14</v>
      </c>
    </row>
    <row r="208" spans="1:26" ht="21" x14ac:dyDescent="0.35">
      <c r="A208" s="7">
        <v>1</v>
      </c>
      <c r="B208" s="313" t="s">
        <v>560</v>
      </c>
      <c r="C208" s="152" t="s">
        <v>561</v>
      </c>
      <c r="D208" s="169">
        <v>216</v>
      </c>
      <c r="E208" s="154">
        <v>0</v>
      </c>
      <c r="F208" s="154">
        <v>5</v>
      </c>
      <c r="G208" s="156">
        <v>196</v>
      </c>
      <c r="H208" s="156">
        <v>0</v>
      </c>
      <c r="I208" s="156">
        <v>5</v>
      </c>
      <c r="J208" s="154">
        <v>186</v>
      </c>
      <c r="K208" s="154">
        <v>0</v>
      </c>
      <c r="L208" s="154">
        <v>5</v>
      </c>
      <c r="M208" s="156">
        <v>196</v>
      </c>
      <c r="N208" s="156">
        <v>0</v>
      </c>
      <c r="O208" s="156">
        <v>5</v>
      </c>
      <c r="P208" s="154">
        <v>169</v>
      </c>
      <c r="Q208" s="154">
        <v>0</v>
      </c>
      <c r="R208" s="154">
        <v>5</v>
      </c>
      <c r="S208" s="156">
        <v>185</v>
      </c>
      <c r="T208" s="156">
        <v>0</v>
      </c>
      <c r="U208" s="156">
        <v>5</v>
      </c>
      <c r="V208" s="159">
        <f t="shared" si="12"/>
        <v>1148</v>
      </c>
      <c r="W208" s="159">
        <f t="shared" si="10"/>
        <v>0</v>
      </c>
      <c r="X208" s="159">
        <f t="shared" si="11"/>
        <v>30</v>
      </c>
      <c r="Y208" s="204" t="s">
        <v>662</v>
      </c>
      <c r="Z208" s="204" t="s">
        <v>663</v>
      </c>
    </row>
    <row r="209" spans="1:26" ht="21" x14ac:dyDescent="0.35">
      <c r="A209" s="7">
        <v>2</v>
      </c>
      <c r="B209" s="313" t="s">
        <v>560</v>
      </c>
      <c r="C209" s="152" t="s">
        <v>562</v>
      </c>
      <c r="D209" s="153">
        <v>0</v>
      </c>
      <c r="E209" s="186">
        <v>203</v>
      </c>
      <c r="F209" s="227">
        <v>5</v>
      </c>
      <c r="G209" s="158">
        <v>0</v>
      </c>
      <c r="H209" s="158">
        <v>212</v>
      </c>
      <c r="I209" s="158">
        <v>5</v>
      </c>
      <c r="J209" s="186">
        <v>0</v>
      </c>
      <c r="K209" s="186">
        <v>191</v>
      </c>
      <c r="L209" s="186">
        <v>5</v>
      </c>
      <c r="M209" s="158">
        <v>0</v>
      </c>
      <c r="N209" s="158">
        <v>211</v>
      </c>
      <c r="O209" s="158">
        <v>5</v>
      </c>
      <c r="P209" s="186">
        <v>0</v>
      </c>
      <c r="Q209" s="186">
        <v>211</v>
      </c>
      <c r="R209" s="186">
        <v>5</v>
      </c>
      <c r="S209" s="158">
        <v>0</v>
      </c>
      <c r="T209" s="158">
        <v>171</v>
      </c>
      <c r="U209" s="158">
        <v>5</v>
      </c>
      <c r="V209" s="159">
        <f t="shared" si="12"/>
        <v>0</v>
      </c>
      <c r="W209" s="159">
        <f t="shared" si="10"/>
        <v>1199</v>
      </c>
      <c r="X209" s="159">
        <f t="shared" si="11"/>
        <v>30</v>
      </c>
      <c r="Y209" s="275">
        <v>1</v>
      </c>
      <c r="Z209" s="275">
        <v>51</v>
      </c>
    </row>
    <row r="210" spans="1:26" ht="21" x14ac:dyDescent="0.35">
      <c r="A210" s="7">
        <v>3</v>
      </c>
      <c r="B210" s="313" t="s">
        <v>560</v>
      </c>
      <c r="C210" s="152" t="s">
        <v>563</v>
      </c>
      <c r="D210" s="169">
        <v>0</v>
      </c>
      <c r="E210" s="154">
        <v>338</v>
      </c>
      <c r="F210" s="154">
        <v>6</v>
      </c>
      <c r="G210" s="156">
        <v>0</v>
      </c>
      <c r="H210" s="156">
        <v>286</v>
      </c>
      <c r="I210" s="156">
        <v>6</v>
      </c>
      <c r="J210" s="154">
        <v>0</v>
      </c>
      <c r="K210" s="154">
        <v>288</v>
      </c>
      <c r="L210" s="154">
        <v>6</v>
      </c>
      <c r="M210" s="156">
        <v>0</v>
      </c>
      <c r="N210" s="156">
        <v>361</v>
      </c>
      <c r="O210" s="156">
        <v>7</v>
      </c>
      <c r="P210" s="154">
        <v>0</v>
      </c>
      <c r="Q210" s="154">
        <v>209</v>
      </c>
      <c r="R210" s="154">
        <v>5</v>
      </c>
      <c r="S210" s="156">
        <v>0</v>
      </c>
      <c r="T210" s="156">
        <v>202</v>
      </c>
      <c r="U210" s="156">
        <v>5</v>
      </c>
      <c r="V210" s="159">
        <f t="shared" si="12"/>
        <v>0</v>
      </c>
      <c r="W210" s="159">
        <f t="shared" si="10"/>
        <v>1684</v>
      </c>
      <c r="X210" s="159">
        <f t="shared" si="11"/>
        <v>35</v>
      </c>
      <c r="Y210" s="191">
        <v>2</v>
      </c>
      <c r="Z210" s="191">
        <v>47</v>
      </c>
    </row>
    <row r="211" spans="1:26" ht="21" x14ac:dyDescent="0.35">
      <c r="A211" s="7">
        <v>4</v>
      </c>
      <c r="B211" s="313" t="s">
        <v>560</v>
      </c>
      <c r="C211" s="152" t="s">
        <v>564</v>
      </c>
      <c r="D211" s="153">
        <v>0</v>
      </c>
      <c r="E211" s="154">
        <v>403</v>
      </c>
      <c r="F211" s="154">
        <v>8</v>
      </c>
      <c r="G211" s="156">
        <v>0</v>
      </c>
      <c r="H211" s="156">
        <v>441</v>
      </c>
      <c r="I211" s="156">
        <v>8</v>
      </c>
      <c r="J211" s="154">
        <v>0</v>
      </c>
      <c r="K211" s="154">
        <v>424</v>
      </c>
      <c r="L211" s="154">
        <v>8</v>
      </c>
      <c r="M211" s="158">
        <v>0</v>
      </c>
      <c r="N211" s="156">
        <v>405</v>
      </c>
      <c r="O211" s="156">
        <v>7</v>
      </c>
      <c r="P211" s="154">
        <v>0</v>
      </c>
      <c r="Q211" s="154">
        <v>289</v>
      </c>
      <c r="R211" s="154">
        <v>6</v>
      </c>
      <c r="S211" s="156">
        <v>0</v>
      </c>
      <c r="T211" s="156">
        <v>355</v>
      </c>
      <c r="U211" s="156">
        <v>6</v>
      </c>
      <c r="V211" s="159">
        <f t="shared" si="12"/>
        <v>0</v>
      </c>
      <c r="W211" s="159">
        <f t="shared" si="10"/>
        <v>2317</v>
      </c>
      <c r="X211" s="159">
        <f t="shared" si="11"/>
        <v>43</v>
      </c>
      <c r="Y211" s="191">
        <v>2</v>
      </c>
      <c r="Z211" s="191">
        <v>52</v>
      </c>
    </row>
    <row r="212" spans="1:26" ht="21" x14ac:dyDescent="0.35">
      <c r="A212" s="7">
        <v>5</v>
      </c>
      <c r="B212" s="313" t="s">
        <v>560</v>
      </c>
      <c r="C212" s="152" t="s">
        <v>565</v>
      </c>
      <c r="D212" s="169">
        <v>237</v>
      </c>
      <c r="E212" s="154">
        <v>0</v>
      </c>
      <c r="F212" s="154">
        <v>7</v>
      </c>
      <c r="G212" s="156">
        <v>204</v>
      </c>
      <c r="H212" s="156">
        <v>0</v>
      </c>
      <c r="I212" s="156">
        <v>6</v>
      </c>
      <c r="J212" s="154">
        <v>199</v>
      </c>
      <c r="K212" s="154">
        <v>0</v>
      </c>
      <c r="L212" s="154">
        <v>6</v>
      </c>
      <c r="M212" s="156">
        <v>164</v>
      </c>
      <c r="N212" s="156">
        <v>0</v>
      </c>
      <c r="O212" s="156">
        <v>6</v>
      </c>
      <c r="P212" s="154">
        <v>162</v>
      </c>
      <c r="Q212" s="154">
        <v>0</v>
      </c>
      <c r="R212" s="154">
        <v>5</v>
      </c>
      <c r="S212" s="156">
        <v>127</v>
      </c>
      <c r="T212" s="156">
        <v>0</v>
      </c>
      <c r="U212" s="156">
        <v>4</v>
      </c>
      <c r="V212" s="159">
        <f t="shared" si="12"/>
        <v>1093</v>
      </c>
      <c r="W212" s="159">
        <f t="shared" si="10"/>
        <v>0</v>
      </c>
      <c r="X212" s="159">
        <f t="shared" si="11"/>
        <v>34</v>
      </c>
      <c r="Y212" s="191">
        <v>2</v>
      </c>
      <c r="Z212" s="191">
        <v>49</v>
      </c>
    </row>
    <row r="213" spans="1:26" ht="21" x14ac:dyDescent="0.35">
      <c r="A213" s="7">
        <v>6</v>
      </c>
      <c r="B213" s="313" t="s">
        <v>560</v>
      </c>
      <c r="C213" s="152" t="s">
        <v>566</v>
      </c>
      <c r="D213" s="153">
        <v>0</v>
      </c>
      <c r="E213" s="166">
        <v>318</v>
      </c>
      <c r="F213" s="186">
        <v>8</v>
      </c>
      <c r="G213" s="158">
        <v>0</v>
      </c>
      <c r="H213" s="158">
        <v>230</v>
      </c>
      <c r="I213" s="158">
        <v>7</v>
      </c>
      <c r="J213" s="186">
        <v>0</v>
      </c>
      <c r="K213" s="186">
        <v>295</v>
      </c>
      <c r="L213" s="186">
        <v>8</v>
      </c>
      <c r="M213" s="158">
        <v>0</v>
      </c>
      <c r="N213" s="158">
        <v>330</v>
      </c>
      <c r="O213" s="158">
        <v>8</v>
      </c>
      <c r="P213" s="186">
        <v>0</v>
      </c>
      <c r="Q213" s="186">
        <v>249</v>
      </c>
      <c r="R213" s="186">
        <v>4</v>
      </c>
      <c r="S213" s="158">
        <v>0</v>
      </c>
      <c r="T213" s="158">
        <v>283</v>
      </c>
      <c r="U213" s="158">
        <v>5</v>
      </c>
      <c r="V213" s="159">
        <f t="shared" si="12"/>
        <v>0</v>
      </c>
      <c r="W213" s="159">
        <f t="shared" si="10"/>
        <v>1705</v>
      </c>
      <c r="X213" s="159">
        <f t="shared" si="11"/>
        <v>40</v>
      </c>
      <c r="Y213" s="170">
        <v>6</v>
      </c>
      <c r="Z213" s="170">
        <v>46</v>
      </c>
    </row>
    <row r="214" spans="1:26" ht="21" x14ac:dyDescent="0.35">
      <c r="A214" s="7">
        <v>7</v>
      </c>
      <c r="B214" s="313" t="s">
        <v>560</v>
      </c>
      <c r="C214" s="152" t="s">
        <v>567</v>
      </c>
      <c r="D214" s="166">
        <v>0</v>
      </c>
      <c r="E214" s="166">
        <v>262</v>
      </c>
      <c r="F214" s="172">
        <v>6</v>
      </c>
      <c r="G214" s="167">
        <v>0</v>
      </c>
      <c r="H214" s="167">
        <v>218</v>
      </c>
      <c r="I214" s="173">
        <v>6</v>
      </c>
      <c r="J214" s="166">
        <v>0</v>
      </c>
      <c r="K214" s="166">
        <v>225</v>
      </c>
      <c r="L214" s="172">
        <v>6</v>
      </c>
      <c r="M214" s="167">
        <v>0</v>
      </c>
      <c r="N214" s="167">
        <v>227</v>
      </c>
      <c r="O214" s="173">
        <v>7</v>
      </c>
      <c r="P214" s="166">
        <v>0</v>
      </c>
      <c r="Q214" s="166">
        <v>313</v>
      </c>
      <c r="R214" s="172">
        <v>9</v>
      </c>
      <c r="S214" s="185">
        <v>0</v>
      </c>
      <c r="T214" s="185">
        <v>247</v>
      </c>
      <c r="U214" s="173">
        <v>9</v>
      </c>
      <c r="V214" s="159">
        <f t="shared" si="12"/>
        <v>0</v>
      </c>
      <c r="W214" s="159">
        <f t="shared" si="10"/>
        <v>1492</v>
      </c>
      <c r="X214" s="159">
        <f t="shared" si="11"/>
        <v>43</v>
      </c>
      <c r="Y214" s="230">
        <v>3</v>
      </c>
      <c r="Z214" s="230">
        <v>48</v>
      </c>
    </row>
    <row r="215" spans="1:26" ht="21" x14ac:dyDescent="0.35">
      <c r="A215" s="7">
        <v>8</v>
      </c>
      <c r="B215" s="313" t="s">
        <v>560</v>
      </c>
      <c r="C215" s="152" t="s">
        <v>568</v>
      </c>
      <c r="D215" s="169">
        <v>0</v>
      </c>
      <c r="E215" s="154">
        <v>459</v>
      </c>
      <c r="F215" s="154">
        <v>8</v>
      </c>
      <c r="G215" s="156">
        <v>0</v>
      </c>
      <c r="H215" s="156">
        <v>444</v>
      </c>
      <c r="I215" s="156">
        <v>7</v>
      </c>
      <c r="J215" s="154">
        <v>0</v>
      </c>
      <c r="K215" s="154">
        <v>443</v>
      </c>
      <c r="L215" s="154">
        <v>6</v>
      </c>
      <c r="M215" s="156">
        <v>0</v>
      </c>
      <c r="N215" s="156">
        <v>458</v>
      </c>
      <c r="O215" s="156">
        <v>7</v>
      </c>
      <c r="P215" s="154">
        <v>0</v>
      </c>
      <c r="Q215" s="154">
        <v>328</v>
      </c>
      <c r="R215" s="154">
        <v>5</v>
      </c>
      <c r="S215" s="156">
        <v>0</v>
      </c>
      <c r="T215" s="156">
        <v>313</v>
      </c>
      <c r="U215" s="156">
        <v>5</v>
      </c>
      <c r="V215" s="159">
        <f t="shared" si="12"/>
        <v>0</v>
      </c>
      <c r="W215" s="159">
        <f t="shared" ref="W215:W267" si="13">E215+H215+K215+N215+Q215+T215</f>
        <v>2445</v>
      </c>
      <c r="X215" s="159">
        <f t="shared" ref="X215:X267" si="14">F215+I215+L215+O215+R215+U215</f>
        <v>38</v>
      </c>
      <c r="Y215" s="191">
        <v>3</v>
      </c>
      <c r="Z215" s="191">
        <v>47</v>
      </c>
    </row>
    <row r="216" spans="1:26" ht="21" x14ac:dyDescent="0.35">
      <c r="A216" s="7">
        <v>9</v>
      </c>
      <c r="B216" s="313" t="s">
        <v>560</v>
      </c>
      <c r="C216" s="152" t="s">
        <v>569</v>
      </c>
      <c r="D216" s="166">
        <v>45</v>
      </c>
      <c r="E216" s="166">
        <v>45</v>
      </c>
      <c r="F216" s="154">
        <v>5</v>
      </c>
      <c r="G216" s="167">
        <v>197</v>
      </c>
      <c r="H216" s="167">
        <v>55</v>
      </c>
      <c r="I216" s="156">
        <v>5</v>
      </c>
      <c r="J216" s="166">
        <v>198</v>
      </c>
      <c r="K216" s="166">
        <v>88</v>
      </c>
      <c r="L216" s="154">
        <v>5</v>
      </c>
      <c r="M216" s="167">
        <v>163</v>
      </c>
      <c r="N216" s="167">
        <v>62</v>
      </c>
      <c r="O216" s="156">
        <v>5</v>
      </c>
      <c r="P216" s="166">
        <v>130</v>
      </c>
      <c r="Q216" s="166">
        <v>70</v>
      </c>
      <c r="R216" s="154">
        <v>5</v>
      </c>
      <c r="S216" s="167">
        <v>162</v>
      </c>
      <c r="T216" s="167">
        <v>71</v>
      </c>
      <c r="U216" s="156">
        <v>5</v>
      </c>
      <c r="V216" s="159">
        <f t="shared" si="12"/>
        <v>895</v>
      </c>
      <c r="W216" s="159">
        <f t="shared" si="13"/>
        <v>391</v>
      </c>
      <c r="X216" s="159">
        <f t="shared" si="14"/>
        <v>30</v>
      </c>
      <c r="Y216" s="191">
        <v>4</v>
      </c>
      <c r="Z216" s="191">
        <v>49</v>
      </c>
    </row>
    <row r="217" spans="1:26" ht="21" x14ac:dyDescent="0.35">
      <c r="A217" s="7">
        <v>10</v>
      </c>
      <c r="B217" s="313" t="s">
        <v>560</v>
      </c>
      <c r="C217" s="152" t="s">
        <v>570</v>
      </c>
      <c r="D217" s="169">
        <v>77</v>
      </c>
      <c r="E217" s="154">
        <v>0</v>
      </c>
      <c r="F217" s="154">
        <v>3</v>
      </c>
      <c r="G217" s="156">
        <v>98</v>
      </c>
      <c r="H217" s="156">
        <v>0</v>
      </c>
      <c r="I217" s="156">
        <v>4</v>
      </c>
      <c r="J217" s="154">
        <v>76</v>
      </c>
      <c r="K217" s="154">
        <v>0</v>
      </c>
      <c r="L217" s="154">
        <v>3</v>
      </c>
      <c r="M217" s="156">
        <v>62</v>
      </c>
      <c r="N217" s="156">
        <v>0</v>
      </c>
      <c r="O217" s="156">
        <v>3</v>
      </c>
      <c r="P217" s="154">
        <v>64</v>
      </c>
      <c r="Q217" s="154">
        <v>0</v>
      </c>
      <c r="R217" s="154">
        <v>3</v>
      </c>
      <c r="S217" s="156">
        <v>58</v>
      </c>
      <c r="T217" s="156">
        <v>0</v>
      </c>
      <c r="U217" s="156">
        <v>3</v>
      </c>
      <c r="V217" s="159">
        <f t="shared" si="12"/>
        <v>435</v>
      </c>
      <c r="W217" s="159">
        <f t="shared" si="13"/>
        <v>0</v>
      </c>
      <c r="X217" s="159">
        <f t="shared" si="14"/>
        <v>19</v>
      </c>
      <c r="Y217" s="191">
        <v>3</v>
      </c>
      <c r="Z217" s="191">
        <v>37</v>
      </c>
    </row>
    <row r="218" spans="1:26" ht="21" x14ac:dyDescent="0.35">
      <c r="A218" s="7">
        <v>11</v>
      </c>
      <c r="B218" s="313" t="s">
        <v>560</v>
      </c>
      <c r="C218" s="152" t="s">
        <v>571</v>
      </c>
      <c r="D218" s="166">
        <v>212</v>
      </c>
      <c r="E218" s="166">
        <v>184</v>
      </c>
      <c r="F218" s="154">
        <v>8</v>
      </c>
      <c r="G218" s="167">
        <v>163</v>
      </c>
      <c r="H218" s="167">
        <v>83</v>
      </c>
      <c r="I218" s="156">
        <v>5</v>
      </c>
      <c r="J218" s="166">
        <v>206</v>
      </c>
      <c r="K218" s="166">
        <v>105</v>
      </c>
      <c r="L218" s="154">
        <v>5</v>
      </c>
      <c r="M218" s="167">
        <v>249</v>
      </c>
      <c r="N218" s="167">
        <v>124</v>
      </c>
      <c r="O218" s="156">
        <v>8</v>
      </c>
      <c r="P218" s="166">
        <v>139</v>
      </c>
      <c r="Q218" s="166">
        <v>113</v>
      </c>
      <c r="R218" s="154">
        <v>6</v>
      </c>
      <c r="S218" s="167">
        <v>120</v>
      </c>
      <c r="T218" s="167">
        <v>115</v>
      </c>
      <c r="U218" s="156">
        <v>5</v>
      </c>
      <c r="V218" s="159">
        <f t="shared" si="12"/>
        <v>1089</v>
      </c>
      <c r="W218" s="159">
        <f t="shared" si="13"/>
        <v>724</v>
      </c>
      <c r="X218" s="159">
        <f t="shared" si="14"/>
        <v>37</v>
      </c>
      <c r="Y218" s="170">
        <v>2</v>
      </c>
      <c r="Z218" s="170">
        <v>48</v>
      </c>
    </row>
    <row r="219" spans="1:26" ht="21" x14ac:dyDescent="0.35">
      <c r="A219" s="7">
        <v>12</v>
      </c>
      <c r="B219" s="313" t="s">
        <v>560</v>
      </c>
      <c r="C219" s="152" t="s">
        <v>572</v>
      </c>
      <c r="D219" s="169">
        <v>200</v>
      </c>
      <c r="E219" s="154">
        <v>190</v>
      </c>
      <c r="F219" s="154">
        <v>10</v>
      </c>
      <c r="G219" s="156">
        <v>201</v>
      </c>
      <c r="H219" s="156">
        <v>140</v>
      </c>
      <c r="I219" s="156">
        <v>8</v>
      </c>
      <c r="J219" s="154">
        <v>210</v>
      </c>
      <c r="K219" s="154">
        <v>134</v>
      </c>
      <c r="L219" s="154">
        <v>10</v>
      </c>
      <c r="M219" s="156">
        <v>210</v>
      </c>
      <c r="N219" s="156">
        <v>150</v>
      </c>
      <c r="O219" s="156">
        <v>8</v>
      </c>
      <c r="P219" s="154">
        <v>130</v>
      </c>
      <c r="Q219" s="154">
        <v>110</v>
      </c>
      <c r="R219" s="154">
        <v>10</v>
      </c>
      <c r="S219" s="156">
        <v>158</v>
      </c>
      <c r="T219" s="156">
        <v>123</v>
      </c>
      <c r="U219" s="156">
        <v>8</v>
      </c>
      <c r="V219" s="159">
        <f t="shared" si="12"/>
        <v>1109</v>
      </c>
      <c r="W219" s="159">
        <f t="shared" si="13"/>
        <v>847</v>
      </c>
      <c r="X219" s="159">
        <f t="shared" si="14"/>
        <v>54</v>
      </c>
      <c r="Y219" s="191">
        <v>5</v>
      </c>
      <c r="Z219" s="191">
        <v>48</v>
      </c>
    </row>
    <row r="220" spans="1:26" ht="21" x14ac:dyDescent="0.35">
      <c r="A220" s="7">
        <v>13</v>
      </c>
      <c r="B220" s="313" t="s">
        <v>560</v>
      </c>
      <c r="C220" s="152" t="s">
        <v>573</v>
      </c>
      <c r="D220" s="276">
        <v>110</v>
      </c>
      <c r="E220" s="276">
        <v>44</v>
      </c>
      <c r="F220" s="227">
        <v>4</v>
      </c>
      <c r="G220" s="214">
        <v>93</v>
      </c>
      <c r="H220" s="214">
        <v>17</v>
      </c>
      <c r="I220" s="228">
        <v>3</v>
      </c>
      <c r="J220" s="276">
        <v>75</v>
      </c>
      <c r="K220" s="276">
        <v>19</v>
      </c>
      <c r="L220" s="227">
        <v>3</v>
      </c>
      <c r="M220" s="214">
        <v>37</v>
      </c>
      <c r="N220" s="214">
        <v>13</v>
      </c>
      <c r="O220" s="228">
        <v>2</v>
      </c>
      <c r="P220" s="276">
        <v>18</v>
      </c>
      <c r="Q220" s="276">
        <v>7</v>
      </c>
      <c r="R220" s="227">
        <v>3</v>
      </c>
      <c r="S220" s="214">
        <v>74</v>
      </c>
      <c r="T220" s="214">
        <v>21</v>
      </c>
      <c r="U220" s="228">
        <v>3</v>
      </c>
      <c r="V220" s="159">
        <f t="shared" si="12"/>
        <v>407</v>
      </c>
      <c r="W220" s="159">
        <f t="shared" si="13"/>
        <v>121</v>
      </c>
      <c r="X220" s="159">
        <f t="shared" si="14"/>
        <v>18</v>
      </c>
      <c r="Y220" s="277">
        <v>2</v>
      </c>
      <c r="Z220" s="277">
        <v>36</v>
      </c>
    </row>
    <row r="221" spans="1:26" ht="21" x14ac:dyDescent="0.35">
      <c r="A221" s="7">
        <v>14</v>
      </c>
      <c r="B221" s="313" t="s">
        <v>560</v>
      </c>
      <c r="C221" s="152" t="s">
        <v>574</v>
      </c>
      <c r="D221" s="162">
        <v>275</v>
      </c>
      <c r="E221" s="162">
        <v>11</v>
      </c>
      <c r="F221" s="154">
        <v>6</v>
      </c>
      <c r="G221" s="161">
        <v>243</v>
      </c>
      <c r="H221" s="161">
        <v>0</v>
      </c>
      <c r="I221" s="156">
        <v>5</v>
      </c>
      <c r="J221" s="162">
        <v>249</v>
      </c>
      <c r="K221" s="162">
        <v>1</v>
      </c>
      <c r="L221" s="154">
        <v>6</v>
      </c>
      <c r="M221" s="161">
        <v>351</v>
      </c>
      <c r="N221" s="161">
        <v>6</v>
      </c>
      <c r="O221" s="156">
        <v>9</v>
      </c>
      <c r="P221" s="162">
        <v>288</v>
      </c>
      <c r="Q221" s="162">
        <v>3</v>
      </c>
      <c r="R221" s="154">
        <v>9</v>
      </c>
      <c r="S221" s="161">
        <v>202</v>
      </c>
      <c r="T221" s="161">
        <v>4</v>
      </c>
      <c r="U221" s="156">
        <v>10</v>
      </c>
      <c r="V221" s="159">
        <f t="shared" si="12"/>
        <v>1608</v>
      </c>
      <c r="W221" s="159">
        <f t="shared" si="13"/>
        <v>25</v>
      </c>
      <c r="X221" s="159">
        <f t="shared" si="14"/>
        <v>45</v>
      </c>
      <c r="Y221" s="165">
        <v>20</v>
      </c>
      <c r="Z221" s="165">
        <v>37</v>
      </c>
    </row>
    <row r="222" spans="1:26" ht="21" x14ac:dyDescent="0.35">
      <c r="A222" s="7">
        <v>15</v>
      </c>
      <c r="B222" s="313" t="s">
        <v>560</v>
      </c>
      <c r="C222" s="152" t="s">
        <v>575</v>
      </c>
      <c r="D222" s="153">
        <v>116</v>
      </c>
      <c r="E222" s="186">
        <v>130</v>
      </c>
      <c r="F222" s="186">
        <v>5</v>
      </c>
      <c r="G222" s="158">
        <v>115</v>
      </c>
      <c r="H222" s="158">
        <v>95</v>
      </c>
      <c r="I222" s="158">
        <v>5</v>
      </c>
      <c r="J222" s="186">
        <v>123</v>
      </c>
      <c r="K222" s="186">
        <v>110</v>
      </c>
      <c r="L222" s="186">
        <v>5</v>
      </c>
      <c r="M222" s="158">
        <v>98</v>
      </c>
      <c r="N222" s="158">
        <v>100</v>
      </c>
      <c r="O222" s="158">
        <v>4</v>
      </c>
      <c r="P222" s="186">
        <v>80</v>
      </c>
      <c r="Q222" s="186">
        <v>92</v>
      </c>
      <c r="R222" s="186">
        <v>4</v>
      </c>
      <c r="S222" s="158">
        <v>104</v>
      </c>
      <c r="T222" s="158">
        <v>96</v>
      </c>
      <c r="U222" s="158">
        <v>4</v>
      </c>
      <c r="V222" s="159">
        <f t="shared" si="12"/>
        <v>636</v>
      </c>
      <c r="W222" s="159">
        <f t="shared" si="13"/>
        <v>623</v>
      </c>
      <c r="X222" s="159">
        <f t="shared" si="14"/>
        <v>27</v>
      </c>
      <c r="Y222" s="160">
        <v>2</v>
      </c>
      <c r="Z222" s="160">
        <v>63</v>
      </c>
    </row>
    <row r="223" spans="1:26" ht="21" x14ac:dyDescent="0.35">
      <c r="A223" s="7">
        <v>16</v>
      </c>
      <c r="B223" s="313" t="s">
        <v>560</v>
      </c>
      <c r="C223" s="152" t="s">
        <v>576</v>
      </c>
      <c r="D223" s="198">
        <v>110</v>
      </c>
      <c r="E223" s="198">
        <v>50</v>
      </c>
      <c r="F223" s="198">
        <v>4</v>
      </c>
      <c r="G223" s="200">
        <v>104</v>
      </c>
      <c r="H223" s="200">
        <v>41</v>
      </c>
      <c r="I223" s="200">
        <v>4</v>
      </c>
      <c r="J223" s="198">
        <v>90</v>
      </c>
      <c r="K223" s="198">
        <v>42</v>
      </c>
      <c r="L223" s="198">
        <v>4</v>
      </c>
      <c r="M223" s="200">
        <v>82</v>
      </c>
      <c r="N223" s="200">
        <v>30</v>
      </c>
      <c r="O223" s="200">
        <v>3</v>
      </c>
      <c r="P223" s="198">
        <v>74</v>
      </c>
      <c r="Q223" s="198">
        <v>32</v>
      </c>
      <c r="R223" s="198">
        <v>3</v>
      </c>
      <c r="S223" s="200">
        <v>78</v>
      </c>
      <c r="T223" s="200">
        <v>44</v>
      </c>
      <c r="U223" s="200">
        <v>3</v>
      </c>
      <c r="V223" s="159">
        <f t="shared" si="12"/>
        <v>538</v>
      </c>
      <c r="W223" s="159">
        <f t="shared" si="13"/>
        <v>239</v>
      </c>
      <c r="X223" s="159">
        <f t="shared" si="14"/>
        <v>21</v>
      </c>
      <c r="Y223" s="201">
        <v>4</v>
      </c>
      <c r="Z223" s="201">
        <v>37</v>
      </c>
    </row>
    <row r="224" spans="1:26" ht="21" x14ac:dyDescent="0.35">
      <c r="A224" s="7">
        <v>1</v>
      </c>
      <c r="B224" s="314" t="s">
        <v>644</v>
      </c>
      <c r="C224" s="189" t="s">
        <v>578</v>
      </c>
      <c r="D224" s="154">
        <v>273</v>
      </c>
      <c r="E224" s="154">
        <v>0</v>
      </c>
      <c r="F224" s="154">
        <v>6</v>
      </c>
      <c r="G224" s="156">
        <v>241</v>
      </c>
      <c r="H224" s="156">
        <v>0</v>
      </c>
      <c r="I224" s="156">
        <v>5</v>
      </c>
      <c r="J224" s="154">
        <v>186</v>
      </c>
      <c r="K224" s="154">
        <v>0</v>
      </c>
      <c r="L224" s="154">
        <v>5</v>
      </c>
      <c r="M224" s="156">
        <v>257</v>
      </c>
      <c r="N224" s="156">
        <v>0</v>
      </c>
      <c r="O224" s="156">
        <v>6</v>
      </c>
      <c r="P224" s="154">
        <v>176</v>
      </c>
      <c r="Q224" s="154">
        <v>0</v>
      </c>
      <c r="R224" s="154">
        <v>4</v>
      </c>
      <c r="S224" s="156">
        <v>130</v>
      </c>
      <c r="T224" s="156">
        <v>0</v>
      </c>
      <c r="U224" s="156">
        <v>4</v>
      </c>
      <c r="V224" s="159">
        <f t="shared" si="12"/>
        <v>1263</v>
      </c>
      <c r="W224" s="159">
        <f t="shared" si="13"/>
        <v>0</v>
      </c>
      <c r="X224" s="159">
        <f t="shared" si="14"/>
        <v>30</v>
      </c>
      <c r="Y224" s="204">
        <v>6</v>
      </c>
      <c r="Z224" s="204">
        <v>48</v>
      </c>
    </row>
    <row r="225" spans="1:26" ht="21" x14ac:dyDescent="0.35">
      <c r="A225" s="7">
        <v>2</v>
      </c>
      <c r="B225" s="314" t="s">
        <v>644</v>
      </c>
      <c r="C225" s="189" t="s">
        <v>579</v>
      </c>
      <c r="D225" s="154">
        <v>269</v>
      </c>
      <c r="E225" s="154">
        <v>129</v>
      </c>
      <c r="F225" s="154">
        <v>7</v>
      </c>
      <c r="G225" s="156">
        <v>228</v>
      </c>
      <c r="H225" s="156">
        <v>185</v>
      </c>
      <c r="I225" s="156">
        <v>7</v>
      </c>
      <c r="J225" s="154">
        <v>207</v>
      </c>
      <c r="K225" s="154">
        <v>171</v>
      </c>
      <c r="L225" s="154">
        <v>7</v>
      </c>
      <c r="M225" s="156">
        <v>247</v>
      </c>
      <c r="N225" s="156">
        <v>106</v>
      </c>
      <c r="O225" s="156">
        <v>5</v>
      </c>
      <c r="P225" s="154">
        <v>164</v>
      </c>
      <c r="Q225" s="154">
        <v>109</v>
      </c>
      <c r="R225" s="154">
        <v>5</v>
      </c>
      <c r="S225" s="156">
        <v>147</v>
      </c>
      <c r="T225" s="156">
        <v>135</v>
      </c>
      <c r="U225" s="156">
        <v>5</v>
      </c>
      <c r="V225" s="159">
        <f t="shared" si="12"/>
        <v>1262</v>
      </c>
      <c r="W225" s="159">
        <f t="shared" si="13"/>
        <v>835</v>
      </c>
      <c r="X225" s="159">
        <f t="shared" si="14"/>
        <v>36</v>
      </c>
      <c r="Y225" s="191">
        <v>6</v>
      </c>
      <c r="Z225" s="191">
        <v>45</v>
      </c>
    </row>
    <row r="226" spans="1:26" ht="21" x14ac:dyDescent="0.35">
      <c r="A226" s="7">
        <v>3</v>
      </c>
      <c r="B226" s="314" t="s">
        <v>644</v>
      </c>
      <c r="C226" s="189" t="s">
        <v>580</v>
      </c>
      <c r="D226" s="154">
        <v>152</v>
      </c>
      <c r="E226" s="154">
        <v>89</v>
      </c>
      <c r="F226" s="154">
        <v>5</v>
      </c>
      <c r="G226" s="156">
        <v>70</v>
      </c>
      <c r="H226" s="156">
        <v>30</v>
      </c>
      <c r="I226" s="156">
        <v>5</v>
      </c>
      <c r="J226" s="154">
        <v>154</v>
      </c>
      <c r="K226" s="154">
        <v>85</v>
      </c>
      <c r="L226" s="154">
        <v>5</v>
      </c>
      <c r="M226" s="156">
        <v>126</v>
      </c>
      <c r="N226" s="156">
        <v>83</v>
      </c>
      <c r="O226" s="156">
        <v>5</v>
      </c>
      <c r="P226" s="154">
        <v>105</v>
      </c>
      <c r="Q226" s="154">
        <v>79</v>
      </c>
      <c r="R226" s="154">
        <v>5</v>
      </c>
      <c r="S226" s="156">
        <v>110</v>
      </c>
      <c r="T226" s="156">
        <v>63</v>
      </c>
      <c r="U226" s="156">
        <v>5</v>
      </c>
      <c r="V226" s="159">
        <f t="shared" si="12"/>
        <v>717</v>
      </c>
      <c r="W226" s="159">
        <f t="shared" si="13"/>
        <v>429</v>
      </c>
      <c r="X226" s="159">
        <f t="shared" si="14"/>
        <v>30</v>
      </c>
      <c r="Y226" s="191">
        <v>3</v>
      </c>
      <c r="Z226" s="191">
        <v>36</v>
      </c>
    </row>
    <row r="227" spans="1:26" ht="21" x14ac:dyDescent="0.35">
      <c r="A227" s="7">
        <v>4</v>
      </c>
      <c r="B227" s="314" t="s">
        <v>644</v>
      </c>
      <c r="C227" s="189" t="s">
        <v>581</v>
      </c>
      <c r="D227" s="186">
        <v>0</v>
      </c>
      <c r="E227" s="188">
        <v>403</v>
      </c>
      <c r="F227" s="186">
        <v>6</v>
      </c>
      <c r="G227" s="158">
        <v>0</v>
      </c>
      <c r="H227" s="189">
        <v>359</v>
      </c>
      <c r="I227" s="158">
        <v>5</v>
      </c>
      <c r="J227" s="186">
        <v>0</v>
      </c>
      <c r="K227" s="186">
        <v>419</v>
      </c>
      <c r="L227" s="186">
        <v>6</v>
      </c>
      <c r="M227" s="158">
        <v>0</v>
      </c>
      <c r="N227" s="158">
        <v>367</v>
      </c>
      <c r="O227" s="158">
        <v>7</v>
      </c>
      <c r="P227" s="186">
        <v>0</v>
      </c>
      <c r="Q227" s="186">
        <v>361</v>
      </c>
      <c r="R227" s="186">
        <v>5</v>
      </c>
      <c r="S227" s="158">
        <v>0</v>
      </c>
      <c r="T227" s="158">
        <v>387</v>
      </c>
      <c r="U227" s="158">
        <v>6</v>
      </c>
      <c r="V227" s="159">
        <f t="shared" si="12"/>
        <v>0</v>
      </c>
      <c r="W227" s="159">
        <f t="shared" si="13"/>
        <v>2296</v>
      </c>
      <c r="X227" s="159">
        <f t="shared" si="14"/>
        <v>35</v>
      </c>
      <c r="Y227" s="160">
        <v>5</v>
      </c>
      <c r="Z227" s="160">
        <v>41</v>
      </c>
    </row>
    <row r="228" spans="1:26" ht="21" x14ac:dyDescent="0.35">
      <c r="A228" s="7">
        <v>5</v>
      </c>
      <c r="B228" s="314" t="s">
        <v>644</v>
      </c>
      <c r="C228" s="189" t="s">
        <v>582</v>
      </c>
      <c r="D228" s="186">
        <v>217</v>
      </c>
      <c r="E228" s="186">
        <v>227</v>
      </c>
      <c r="F228" s="186">
        <v>9</v>
      </c>
      <c r="G228" s="158">
        <v>131</v>
      </c>
      <c r="H228" s="158">
        <v>140</v>
      </c>
      <c r="I228" s="158">
        <v>5</v>
      </c>
      <c r="J228" s="186">
        <v>136</v>
      </c>
      <c r="K228" s="186">
        <v>113</v>
      </c>
      <c r="L228" s="186">
        <v>6</v>
      </c>
      <c r="M228" s="158">
        <v>114</v>
      </c>
      <c r="N228" s="158">
        <v>146</v>
      </c>
      <c r="O228" s="158">
        <v>5</v>
      </c>
      <c r="P228" s="186">
        <v>73</v>
      </c>
      <c r="Q228" s="186">
        <v>146</v>
      </c>
      <c r="R228" s="186">
        <v>5</v>
      </c>
      <c r="S228" s="158">
        <v>62</v>
      </c>
      <c r="T228" s="158">
        <v>120</v>
      </c>
      <c r="U228" s="158">
        <v>4</v>
      </c>
      <c r="V228" s="159">
        <f t="shared" si="12"/>
        <v>733</v>
      </c>
      <c r="W228" s="159">
        <f t="shared" si="13"/>
        <v>892</v>
      </c>
      <c r="X228" s="159">
        <f t="shared" si="14"/>
        <v>34</v>
      </c>
      <c r="Y228" s="201">
        <v>1</v>
      </c>
      <c r="Z228" s="201">
        <v>62</v>
      </c>
    </row>
    <row r="229" spans="1:26" ht="21" x14ac:dyDescent="0.35">
      <c r="A229" s="7">
        <v>6</v>
      </c>
      <c r="B229" s="314" t="s">
        <v>644</v>
      </c>
      <c r="C229" s="189" t="s">
        <v>583</v>
      </c>
      <c r="D229" s="186">
        <v>12</v>
      </c>
      <c r="E229" s="186">
        <v>8</v>
      </c>
      <c r="F229" s="186">
        <v>1</v>
      </c>
      <c r="G229" s="158">
        <v>2</v>
      </c>
      <c r="H229" s="158">
        <v>5</v>
      </c>
      <c r="I229" s="158">
        <v>1</v>
      </c>
      <c r="J229" s="186">
        <v>12</v>
      </c>
      <c r="K229" s="186">
        <v>6</v>
      </c>
      <c r="L229" s="186">
        <v>1</v>
      </c>
      <c r="M229" s="158">
        <v>4</v>
      </c>
      <c r="N229" s="158">
        <v>3</v>
      </c>
      <c r="O229" s="158">
        <v>1</v>
      </c>
      <c r="P229" s="186">
        <v>5</v>
      </c>
      <c r="Q229" s="186">
        <v>4</v>
      </c>
      <c r="R229" s="186">
        <v>1</v>
      </c>
      <c r="S229" s="158">
        <v>5</v>
      </c>
      <c r="T229" s="158">
        <v>6</v>
      </c>
      <c r="U229" s="158">
        <v>1</v>
      </c>
      <c r="V229" s="159">
        <f t="shared" si="12"/>
        <v>40</v>
      </c>
      <c r="W229" s="159">
        <f t="shared" si="13"/>
        <v>32</v>
      </c>
      <c r="X229" s="159">
        <f t="shared" si="14"/>
        <v>6</v>
      </c>
      <c r="Y229" s="160">
        <v>1</v>
      </c>
      <c r="Z229" s="160">
        <v>13</v>
      </c>
    </row>
    <row r="230" spans="1:26" ht="21" x14ac:dyDescent="0.35">
      <c r="A230" s="7">
        <v>1</v>
      </c>
      <c r="B230" s="314" t="s">
        <v>643</v>
      </c>
      <c r="C230" s="189" t="s">
        <v>585</v>
      </c>
      <c r="D230" s="154">
        <v>15</v>
      </c>
      <c r="E230" s="154">
        <v>20</v>
      </c>
      <c r="F230" s="154">
        <v>1</v>
      </c>
      <c r="G230" s="156">
        <v>34</v>
      </c>
      <c r="H230" s="156">
        <v>50</v>
      </c>
      <c r="I230" s="156">
        <v>2</v>
      </c>
      <c r="J230" s="154">
        <v>35</v>
      </c>
      <c r="K230" s="154">
        <v>60</v>
      </c>
      <c r="L230" s="154">
        <v>1</v>
      </c>
      <c r="M230" s="156">
        <v>15</v>
      </c>
      <c r="N230" s="156">
        <v>20</v>
      </c>
      <c r="O230" s="156">
        <v>1</v>
      </c>
      <c r="P230" s="154">
        <v>25</v>
      </c>
      <c r="Q230" s="154">
        <v>11</v>
      </c>
      <c r="R230" s="154">
        <v>1</v>
      </c>
      <c r="S230" s="156">
        <v>17</v>
      </c>
      <c r="T230" s="156">
        <v>5</v>
      </c>
      <c r="U230" s="156">
        <v>1</v>
      </c>
      <c r="V230" s="159">
        <f t="shared" si="12"/>
        <v>141</v>
      </c>
      <c r="W230" s="159">
        <f t="shared" si="13"/>
        <v>166</v>
      </c>
      <c r="X230" s="159">
        <f t="shared" si="14"/>
        <v>7</v>
      </c>
      <c r="Y230" s="234">
        <v>5</v>
      </c>
      <c r="Z230" s="234">
        <v>16</v>
      </c>
    </row>
    <row r="231" spans="1:26" ht="21" x14ac:dyDescent="0.35">
      <c r="A231" s="7">
        <v>2</v>
      </c>
      <c r="B231" s="314" t="s">
        <v>643</v>
      </c>
      <c r="C231" s="189" t="s">
        <v>586</v>
      </c>
      <c r="D231" s="166">
        <v>102</v>
      </c>
      <c r="E231" s="166">
        <v>118</v>
      </c>
      <c r="F231" s="154">
        <v>5</v>
      </c>
      <c r="G231" s="167">
        <v>40</v>
      </c>
      <c r="H231" s="167">
        <v>80</v>
      </c>
      <c r="I231" s="156">
        <v>3</v>
      </c>
      <c r="J231" s="166">
        <v>59</v>
      </c>
      <c r="K231" s="166">
        <v>155</v>
      </c>
      <c r="L231" s="154">
        <v>5</v>
      </c>
      <c r="M231" s="167">
        <v>46</v>
      </c>
      <c r="N231" s="167">
        <v>83</v>
      </c>
      <c r="O231" s="156">
        <v>3</v>
      </c>
      <c r="P231" s="166">
        <v>50</v>
      </c>
      <c r="Q231" s="166">
        <v>93</v>
      </c>
      <c r="R231" s="154">
        <v>3</v>
      </c>
      <c r="S231" s="167">
        <v>48</v>
      </c>
      <c r="T231" s="167">
        <v>102</v>
      </c>
      <c r="U231" s="156">
        <v>4</v>
      </c>
      <c r="V231" s="159">
        <f t="shared" ref="V231:V267" si="15">D231+G231+J231+M231+P231+S231</f>
        <v>345</v>
      </c>
      <c r="W231" s="159">
        <f t="shared" si="13"/>
        <v>631</v>
      </c>
      <c r="X231" s="159">
        <f t="shared" si="14"/>
        <v>23</v>
      </c>
      <c r="Y231" s="170">
        <v>5</v>
      </c>
      <c r="Z231" s="170">
        <v>32</v>
      </c>
    </row>
    <row r="232" spans="1:26" ht="21" x14ac:dyDescent="0.35">
      <c r="A232" s="7">
        <v>3</v>
      </c>
      <c r="B232" s="314" t="s">
        <v>643</v>
      </c>
      <c r="C232" s="189" t="s">
        <v>587</v>
      </c>
      <c r="D232" s="198">
        <v>248</v>
      </c>
      <c r="E232" s="198">
        <v>213</v>
      </c>
      <c r="F232" s="154">
        <v>9</v>
      </c>
      <c r="G232" s="200">
        <v>79</v>
      </c>
      <c r="H232" s="200">
        <v>93</v>
      </c>
      <c r="I232" s="156">
        <v>4</v>
      </c>
      <c r="J232" s="198">
        <v>108</v>
      </c>
      <c r="K232" s="198">
        <v>85</v>
      </c>
      <c r="L232" s="154">
        <v>4</v>
      </c>
      <c r="M232" s="200">
        <v>77</v>
      </c>
      <c r="N232" s="200">
        <v>80</v>
      </c>
      <c r="O232" s="156">
        <v>4</v>
      </c>
      <c r="P232" s="198">
        <v>70</v>
      </c>
      <c r="Q232" s="198">
        <v>78</v>
      </c>
      <c r="R232" s="154">
        <v>5</v>
      </c>
      <c r="S232" s="200">
        <v>67</v>
      </c>
      <c r="T232" s="200">
        <v>54</v>
      </c>
      <c r="U232" s="156">
        <v>3</v>
      </c>
      <c r="V232" s="159">
        <f t="shared" si="15"/>
        <v>649</v>
      </c>
      <c r="W232" s="159">
        <f t="shared" si="13"/>
        <v>603</v>
      </c>
      <c r="X232" s="159">
        <f t="shared" si="14"/>
        <v>29</v>
      </c>
      <c r="Y232" s="165">
        <v>1</v>
      </c>
      <c r="Z232" s="165">
        <v>31</v>
      </c>
    </row>
    <row r="233" spans="1:26" ht="21" x14ac:dyDescent="0.35">
      <c r="A233" s="7">
        <v>4</v>
      </c>
      <c r="B233" s="314" t="s">
        <v>643</v>
      </c>
      <c r="C233" s="189" t="s">
        <v>588</v>
      </c>
      <c r="D233" s="278">
        <v>62</v>
      </c>
      <c r="E233" s="278">
        <v>25</v>
      </c>
      <c r="F233" s="155">
        <v>1</v>
      </c>
      <c r="G233" s="279">
        <v>35</v>
      </c>
      <c r="H233" s="279">
        <v>30</v>
      </c>
      <c r="I233" s="157">
        <v>1</v>
      </c>
      <c r="J233" s="278">
        <v>23</v>
      </c>
      <c r="K233" s="278">
        <v>19</v>
      </c>
      <c r="L233" s="155">
        <v>1</v>
      </c>
      <c r="M233" s="279">
        <v>23</v>
      </c>
      <c r="N233" s="279">
        <v>24</v>
      </c>
      <c r="O233" s="157">
        <v>1</v>
      </c>
      <c r="P233" s="278">
        <v>14</v>
      </c>
      <c r="Q233" s="278">
        <v>16</v>
      </c>
      <c r="R233" s="155">
        <v>1</v>
      </c>
      <c r="S233" s="279">
        <v>9</v>
      </c>
      <c r="T233" s="279">
        <v>15</v>
      </c>
      <c r="U233" s="157">
        <v>1</v>
      </c>
      <c r="V233" s="159">
        <f t="shared" si="15"/>
        <v>166</v>
      </c>
      <c r="W233" s="159">
        <f t="shared" si="13"/>
        <v>129</v>
      </c>
      <c r="X233" s="159">
        <f t="shared" si="14"/>
        <v>6</v>
      </c>
      <c r="Y233" s="275">
        <v>5</v>
      </c>
      <c r="Z233" s="275">
        <v>16</v>
      </c>
    </row>
    <row r="234" spans="1:26" ht="21" x14ac:dyDescent="0.35">
      <c r="A234" s="7">
        <v>5</v>
      </c>
      <c r="B234" s="314" t="s">
        <v>643</v>
      </c>
      <c r="C234" s="189" t="s">
        <v>589</v>
      </c>
      <c r="D234" s="154">
        <v>57</v>
      </c>
      <c r="E234" s="154">
        <v>65</v>
      </c>
      <c r="F234" s="154">
        <v>3</v>
      </c>
      <c r="G234" s="156">
        <v>21</v>
      </c>
      <c r="H234" s="156">
        <v>27</v>
      </c>
      <c r="I234" s="156">
        <v>1</v>
      </c>
      <c r="J234" s="154">
        <v>24</v>
      </c>
      <c r="K234" s="154">
        <v>25</v>
      </c>
      <c r="L234" s="154">
        <v>1</v>
      </c>
      <c r="M234" s="156">
        <v>10</v>
      </c>
      <c r="N234" s="156">
        <v>16</v>
      </c>
      <c r="O234" s="156">
        <v>1</v>
      </c>
      <c r="P234" s="154">
        <v>2</v>
      </c>
      <c r="Q234" s="154">
        <v>4</v>
      </c>
      <c r="R234" s="154">
        <v>1</v>
      </c>
      <c r="S234" s="156">
        <v>4</v>
      </c>
      <c r="T234" s="156">
        <v>20</v>
      </c>
      <c r="U234" s="156">
        <v>0</v>
      </c>
      <c r="V234" s="159">
        <f t="shared" si="15"/>
        <v>118</v>
      </c>
      <c r="W234" s="159">
        <f t="shared" si="13"/>
        <v>157</v>
      </c>
      <c r="X234" s="159">
        <f t="shared" si="14"/>
        <v>7</v>
      </c>
      <c r="Y234" s="191">
        <v>2</v>
      </c>
      <c r="Z234" s="191">
        <v>13</v>
      </c>
    </row>
    <row r="235" spans="1:26" ht="21" x14ac:dyDescent="0.35">
      <c r="A235" s="7">
        <v>6</v>
      </c>
      <c r="B235" s="314" t="s">
        <v>643</v>
      </c>
      <c r="C235" s="189" t="s">
        <v>590</v>
      </c>
      <c r="D235" s="186">
        <v>27</v>
      </c>
      <c r="E235" s="186">
        <v>36</v>
      </c>
      <c r="F235" s="186">
        <v>2</v>
      </c>
      <c r="G235" s="158">
        <v>22</v>
      </c>
      <c r="H235" s="158">
        <v>34</v>
      </c>
      <c r="I235" s="158">
        <v>2</v>
      </c>
      <c r="J235" s="186">
        <v>12</v>
      </c>
      <c r="K235" s="186">
        <v>20</v>
      </c>
      <c r="L235" s="186">
        <v>1</v>
      </c>
      <c r="M235" s="158">
        <v>15</v>
      </c>
      <c r="N235" s="158">
        <v>18</v>
      </c>
      <c r="O235" s="158">
        <v>1</v>
      </c>
      <c r="P235" s="186">
        <v>15</v>
      </c>
      <c r="Q235" s="186">
        <v>28</v>
      </c>
      <c r="R235" s="186">
        <v>2</v>
      </c>
      <c r="S235" s="158">
        <v>7</v>
      </c>
      <c r="T235" s="158">
        <v>11</v>
      </c>
      <c r="U235" s="158">
        <v>2</v>
      </c>
      <c r="V235" s="159">
        <f t="shared" si="15"/>
        <v>98</v>
      </c>
      <c r="W235" s="159">
        <f t="shared" si="13"/>
        <v>147</v>
      </c>
      <c r="X235" s="159">
        <f t="shared" si="14"/>
        <v>10</v>
      </c>
      <c r="Y235" s="160">
        <v>2</v>
      </c>
      <c r="Z235" s="160">
        <v>26</v>
      </c>
    </row>
    <row r="236" spans="1:26" ht="21" x14ac:dyDescent="0.35">
      <c r="A236" s="7">
        <v>7</v>
      </c>
      <c r="B236" s="314" t="s">
        <v>643</v>
      </c>
      <c r="C236" s="203" t="s">
        <v>591</v>
      </c>
      <c r="D236" s="162">
        <v>45</v>
      </c>
      <c r="E236" s="162">
        <v>35</v>
      </c>
      <c r="F236" s="162">
        <v>2</v>
      </c>
      <c r="G236" s="161">
        <v>34</v>
      </c>
      <c r="H236" s="161">
        <v>33</v>
      </c>
      <c r="I236" s="161">
        <v>2</v>
      </c>
      <c r="J236" s="162">
        <v>34</v>
      </c>
      <c r="K236" s="162">
        <v>28</v>
      </c>
      <c r="L236" s="162">
        <v>2</v>
      </c>
      <c r="M236" s="161">
        <v>24</v>
      </c>
      <c r="N236" s="161">
        <v>24</v>
      </c>
      <c r="O236" s="161">
        <v>2</v>
      </c>
      <c r="P236" s="162">
        <v>23</v>
      </c>
      <c r="Q236" s="162">
        <v>20</v>
      </c>
      <c r="R236" s="162">
        <v>2</v>
      </c>
      <c r="S236" s="161">
        <v>14</v>
      </c>
      <c r="T236" s="161">
        <v>19</v>
      </c>
      <c r="U236" s="161">
        <v>2</v>
      </c>
      <c r="V236" s="159">
        <f t="shared" si="15"/>
        <v>174</v>
      </c>
      <c r="W236" s="159">
        <f t="shared" si="13"/>
        <v>159</v>
      </c>
      <c r="X236" s="159">
        <f t="shared" si="14"/>
        <v>12</v>
      </c>
      <c r="Y236" s="165">
        <v>5</v>
      </c>
      <c r="Z236" s="165">
        <v>18</v>
      </c>
    </row>
    <row r="237" spans="1:26" ht="21" x14ac:dyDescent="0.35">
      <c r="A237" s="7">
        <v>8</v>
      </c>
      <c r="B237" s="314" t="s">
        <v>643</v>
      </c>
      <c r="C237" s="189" t="s">
        <v>592</v>
      </c>
      <c r="D237" s="166">
        <v>94</v>
      </c>
      <c r="E237" s="166">
        <v>56</v>
      </c>
      <c r="F237" s="280">
        <v>3</v>
      </c>
      <c r="G237" s="167">
        <v>65</v>
      </c>
      <c r="H237" s="167">
        <v>38</v>
      </c>
      <c r="I237" s="281">
        <v>2</v>
      </c>
      <c r="J237" s="166">
        <v>94</v>
      </c>
      <c r="K237" s="166">
        <v>53</v>
      </c>
      <c r="L237" s="280">
        <v>3</v>
      </c>
      <c r="M237" s="167">
        <v>68</v>
      </c>
      <c r="N237" s="167">
        <v>45</v>
      </c>
      <c r="O237" s="281">
        <v>3</v>
      </c>
      <c r="P237" s="166">
        <v>60</v>
      </c>
      <c r="Q237" s="166">
        <v>31</v>
      </c>
      <c r="R237" s="280">
        <v>3</v>
      </c>
      <c r="S237" s="185">
        <v>74</v>
      </c>
      <c r="T237" s="185">
        <v>29</v>
      </c>
      <c r="U237" s="281">
        <v>3</v>
      </c>
      <c r="V237" s="159">
        <f t="shared" si="15"/>
        <v>455</v>
      </c>
      <c r="W237" s="159">
        <f t="shared" si="13"/>
        <v>252</v>
      </c>
      <c r="X237" s="159">
        <f t="shared" si="14"/>
        <v>17</v>
      </c>
      <c r="Y237" s="170">
        <v>4</v>
      </c>
      <c r="Z237" s="170">
        <v>32</v>
      </c>
    </row>
    <row r="238" spans="1:26" ht="21" x14ac:dyDescent="0.35">
      <c r="A238" s="7">
        <v>9</v>
      </c>
      <c r="B238" s="314" t="s">
        <v>643</v>
      </c>
      <c r="C238" s="189" t="s">
        <v>593</v>
      </c>
      <c r="D238" s="205">
        <v>61</v>
      </c>
      <c r="E238" s="205">
        <v>29</v>
      </c>
      <c r="F238" s="186">
        <v>3</v>
      </c>
      <c r="G238" s="206">
        <v>40</v>
      </c>
      <c r="H238" s="206">
        <v>33</v>
      </c>
      <c r="I238" s="158">
        <v>2</v>
      </c>
      <c r="J238" s="205">
        <v>53</v>
      </c>
      <c r="K238" s="205">
        <v>50</v>
      </c>
      <c r="L238" s="186">
        <v>3</v>
      </c>
      <c r="M238" s="206">
        <v>39</v>
      </c>
      <c r="N238" s="206">
        <v>35</v>
      </c>
      <c r="O238" s="158">
        <v>2</v>
      </c>
      <c r="P238" s="205">
        <v>21</v>
      </c>
      <c r="Q238" s="205">
        <v>21</v>
      </c>
      <c r="R238" s="186">
        <v>2</v>
      </c>
      <c r="S238" s="206">
        <v>14</v>
      </c>
      <c r="T238" s="206">
        <v>9</v>
      </c>
      <c r="U238" s="158">
        <v>1</v>
      </c>
      <c r="V238" s="159">
        <f t="shared" si="15"/>
        <v>228</v>
      </c>
      <c r="W238" s="159">
        <f t="shared" si="13"/>
        <v>177</v>
      </c>
      <c r="X238" s="159">
        <f t="shared" si="14"/>
        <v>13</v>
      </c>
      <c r="Y238" s="170">
        <v>7</v>
      </c>
      <c r="Z238" s="170">
        <v>21</v>
      </c>
    </row>
    <row r="239" spans="1:26" ht="21" x14ac:dyDescent="0.35">
      <c r="A239" s="7">
        <v>10</v>
      </c>
      <c r="B239" s="314" t="s">
        <v>643</v>
      </c>
      <c r="C239" s="189" t="s">
        <v>594</v>
      </c>
      <c r="D239" s="186">
        <v>35</v>
      </c>
      <c r="E239" s="186">
        <v>25</v>
      </c>
      <c r="F239" s="186">
        <v>1</v>
      </c>
      <c r="G239" s="158">
        <v>11</v>
      </c>
      <c r="H239" s="158">
        <v>13</v>
      </c>
      <c r="I239" s="158">
        <v>1</v>
      </c>
      <c r="J239" s="186">
        <v>24</v>
      </c>
      <c r="K239" s="186">
        <v>15</v>
      </c>
      <c r="L239" s="186">
        <v>1</v>
      </c>
      <c r="M239" s="158">
        <v>8</v>
      </c>
      <c r="N239" s="158">
        <v>15</v>
      </c>
      <c r="O239" s="158">
        <v>1</v>
      </c>
      <c r="P239" s="186">
        <v>0</v>
      </c>
      <c r="Q239" s="186">
        <v>0</v>
      </c>
      <c r="R239" s="186">
        <v>0</v>
      </c>
      <c r="S239" s="158">
        <v>0</v>
      </c>
      <c r="T239" s="158">
        <v>0</v>
      </c>
      <c r="U239" s="158">
        <v>1</v>
      </c>
      <c r="V239" s="159">
        <f t="shared" si="15"/>
        <v>78</v>
      </c>
      <c r="W239" s="159">
        <f t="shared" si="13"/>
        <v>68</v>
      </c>
      <c r="X239" s="159">
        <f t="shared" si="14"/>
        <v>5</v>
      </c>
      <c r="Y239" s="160">
        <v>2</v>
      </c>
      <c r="Z239" s="160">
        <v>11</v>
      </c>
    </row>
    <row r="240" spans="1:26" ht="21" x14ac:dyDescent="0.3">
      <c r="A240" s="13">
        <v>1</v>
      </c>
      <c r="B240" s="317" t="s">
        <v>595</v>
      </c>
      <c r="C240" s="282" t="s">
        <v>596</v>
      </c>
      <c r="D240" s="186">
        <v>53</v>
      </c>
      <c r="E240" s="186"/>
      <c r="F240" s="186">
        <v>2</v>
      </c>
      <c r="G240" s="158">
        <v>59</v>
      </c>
      <c r="H240" s="158">
        <v>73</v>
      </c>
      <c r="I240" s="158">
        <v>2</v>
      </c>
      <c r="J240" s="186">
        <v>52</v>
      </c>
      <c r="K240" s="186">
        <v>57</v>
      </c>
      <c r="L240" s="186">
        <v>3</v>
      </c>
      <c r="M240" s="158">
        <v>40</v>
      </c>
      <c r="N240" s="158">
        <v>54</v>
      </c>
      <c r="O240" s="158">
        <v>2</v>
      </c>
      <c r="P240" s="186">
        <v>51</v>
      </c>
      <c r="Q240" s="186">
        <v>49</v>
      </c>
      <c r="R240" s="186">
        <v>2</v>
      </c>
      <c r="S240" s="158">
        <v>22</v>
      </c>
      <c r="T240" s="158">
        <v>27</v>
      </c>
      <c r="U240" s="158">
        <v>2</v>
      </c>
      <c r="V240" s="187">
        <f t="shared" si="15"/>
        <v>277</v>
      </c>
      <c r="W240" s="187">
        <f t="shared" si="13"/>
        <v>260</v>
      </c>
      <c r="X240" s="187">
        <f t="shared" si="14"/>
        <v>13</v>
      </c>
      <c r="Y240" s="160">
        <v>7</v>
      </c>
      <c r="Z240" s="160">
        <v>29</v>
      </c>
    </row>
    <row r="241" spans="1:26" ht="21" x14ac:dyDescent="0.3">
      <c r="A241" s="13">
        <v>2</v>
      </c>
      <c r="B241" s="317" t="s">
        <v>595</v>
      </c>
      <c r="C241" s="282" t="s">
        <v>597</v>
      </c>
      <c r="D241" s="166">
        <v>50</v>
      </c>
      <c r="E241" s="166">
        <v>52</v>
      </c>
      <c r="F241" s="154">
        <v>3</v>
      </c>
      <c r="G241" s="167">
        <v>52</v>
      </c>
      <c r="H241" s="167">
        <v>56</v>
      </c>
      <c r="I241" s="156">
        <v>3</v>
      </c>
      <c r="J241" s="166">
        <v>68</v>
      </c>
      <c r="K241" s="166">
        <v>58</v>
      </c>
      <c r="L241" s="154">
        <v>3</v>
      </c>
      <c r="M241" s="167">
        <v>42</v>
      </c>
      <c r="N241" s="167">
        <v>43</v>
      </c>
      <c r="O241" s="156">
        <v>2</v>
      </c>
      <c r="P241" s="166">
        <v>20</v>
      </c>
      <c r="Q241" s="166">
        <v>28</v>
      </c>
      <c r="R241" s="154">
        <v>2</v>
      </c>
      <c r="S241" s="167">
        <v>49</v>
      </c>
      <c r="T241" s="167">
        <v>49</v>
      </c>
      <c r="U241" s="156">
        <v>2</v>
      </c>
      <c r="V241" s="187">
        <f t="shared" si="15"/>
        <v>281</v>
      </c>
      <c r="W241" s="187">
        <f t="shared" si="13"/>
        <v>286</v>
      </c>
      <c r="X241" s="187">
        <f t="shared" si="14"/>
        <v>15</v>
      </c>
      <c r="Y241" s="170">
        <v>5</v>
      </c>
      <c r="Z241" s="170">
        <v>28</v>
      </c>
    </row>
    <row r="242" spans="1:26" ht="21" x14ac:dyDescent="0.3">
      <c r="A242" s="13">
        <v>3</v>
      </c>
      <c r="B242" s="317" t="s">
        <v>595</v>
      </c>
      <c r="C242" s="282" t="s">
        <v>598</v>
      </c>
      <c r="D242" s="166">
        <v>87</v>
      </c>
      <c r="E242" s="166">
        <v>51</v>
      </c>
      <c r="F242" s="154">
        <v>4</v>
      </c>
      <c r="G242" s="167">
        <v>59</v>
      </c>
      <c r="H242" s="167">
        <v>73</v>
      </c>
      <c r="I242" s="156">
        <v>4</v>
      </c>
      <c r="J242" s="166">
        <v>52</v>
      </c>
      <c r="K242" s="166">
        <v>57</v>
      </c>
      <c r="L242" s="154">
        <v>3</v>
      </c>
      <c r="M242" s="167">
        <v>40</v>
      </c>
      <c r="N242" s="167">
        <v>54</v>
      </c>
      <c r="O242" s="156">
        <v>4</v>
      </c>
      <c r="P242" s="166">
        <v>51</v>
      </c>
      <c r="Q242" s="166">
        <v>49</v>
      </c>
      <c r="R242" s="154">
        <v>3</v>
      </c>
      <c r="S242" s="167">
        <v>22</v>
      </c>
      <c r="T242" s="167">
        <v>27</v>
      </c>
      <c r="U242" s="156">
        <v>2</v>
      </c>
      <c r="V242" s="187">
        <f t="shared" si="15"/>
        <v>311</v>
      </c>
      <c r="W242" s="187">
        <f t="shared" si="13"/>
        <v>311</v>
      </c>
      <c r="X242" s="187">
        <f t="shared" si="14"/>
        <v>20</v>
      </c>
      <c r="Y242" s="170">
        <v>7</v>
      </c>
      <c r="Z242" s="170">
        <v>29</v>
      </c>
    </row>
    <row r="243" spans="1:26" ht="21" x14ac:dyDescent="0.3">
      <c r="A243" s="13">
        <v>4</v>
      </c>
      <c r="B243" s="317" t="s">
        <v>595</v>
      </c>
      <c r="C243" s="282" t="s">
        <v>599</v>
      </c>
      <c r="D243" s="154">
        <v>0</v>
      </c>
      <c r="E243" s="283">
        <v>130</v>
      </c>
      <c r="F243" s="154"/>
      <c r="G243" s="156"/>
      <c r="H243" s="284">
        <v>120</v>
      </c>
      <c r="I243" s="158"/>
      <c r="J243" s="154">
        <v>1</v>
      </c>
      <c r="K243" s="283">
        <v>138</v>
      </c>
      <c r="L243" s="186"/>
      <c r="M243" s="156"/>
      <c r="N243" s="284">
        <v>150</v>
      </c>
      <c r="O243" s="158"/>
      <c r="P243" s="186"/>
      <c r="Q243" s="283">
        <v>140</v>
      </c>
      <c r="R243" s="186"/>
      <c r="S243" s="156"/>
      <c r="T243" s="284">
        <v>112</v>
      </c>
      <c r="U243" s="158"/>
      <c r="V243" s="187">
        <f t="shared" si="15"/>
        <v>1</v>
      </c>
      <c r="W243" s="187">
        <f t="shared" si="13"/>
        <v>790</v>
      </c>
      <c r="X243" s="187">
        <f t="shared" si="14"/>
        <v>0</v>
      </c>
      <c r="Y243" s="234">
        <v>7</v>
      </c>
      <c r="Z243" s="234">
        <v>28</v>
      </c>
    </row>
    <row r="244" spans="1:26" ht="21" x14ac:dyDescent="0.3">
      <c r="A244" s="13">
        <v>5</v>
      </c>
      <c r="B244" s="317" t="s">
        <v>595</v>
      </c>
      <c r="C244" s="282" t="s">
        <v>600</v>
      </c>
      <c r="D244" s="285">
        <v>26</v>
      </c>
      <c r="E244" s="285">
        <v>27</v>
      </c>
      <c r="F244" s="154">
        <v>1</v>
      </c>
      <c r="G244" s="286">
        <v>23</v>
      </c>
      <c r="H244" s="286">
        <v>27</v>
      </c>
      <c r="I244" s="156">
        <v>1</v>
      </c>
      <c r="J244" s="285">
        <v>32</v>
      </c>
      <c r="K244" s="285">
        <v>37</v>
      </c>
      <c r="L244" s="154">
        <v>1</v>
      </c>
      <c r="M244" s="286">
        <v>14</v>
      </c>
      <c r="N244" s="286">
        <v>25</v>
      </c>
      <c r="O244" s="156">
        <v>1</v>
      </c>
      <c r="P244" s="285">
        <v>26</v>
      </c>
      <c r="Q244" s="285">
        <v>6</v>
      </c>
      <c r="R244" s="154">
        <v>1</v>
      </c>
      <c r="S244" s="286">
        <v>33</v>
      </c>
      <c r="T244" s="286">
        <v>20</v>
      </c>
      <c r="U244" s="156">
        <v>1</v>
      </c>
      <c r="V244" s="187">
        <f t="shared" si="15"/>
        <v>154</v>
      </c>
      <c r="W244" s="187">
        <f t="shared" si="13"/>
        <v>142</v>
      </c>
      <c r="X244" s="187">
        <f t="shared" si="14"/>
        <v>6</v>
      </c>
      <c r="Y244" s="287">
        <v>10</v>
      </c>
      <c r="Z244" s="287">
        <v>10</v>
      </c>
    </row>
    <row r="245" spans="1:26" ht="21" x14ac:dyDescent="0.3">
      <c r="A245" s="13">
        <v>6</v>
      </c>
      <c r="B245" s="317" t="s">
        <v>595</v>
      </c>
      <c r="C245" s="282" t="s">
        <v>601</v>
      </c>
      <c r="D245" s="166">
        <v>53</v>
      </c>
      <c r="E245" s="166">
        <v>43</v>
      </c>
      <c r="F245" s="154">
        <v>2</v>
      </c>
      <c r="G245" s="167">
        <v>47</v>
      </c>
      <c r="H245" s="167">
        <v>35</v>
      </c>
      <c r="I245" s="156">
        <v>2</v>
      </c>
      <c r="J245" s="166">
        <v>43</v>
      </c>
      <c r="K245" s="166">
        <v>66</v>
      </c>
      <c r="L245" s="154">
        <v>2</v>
      </c>
      <c r="M245" s="167">
        <v>54</v>
      </c>
      <c r="N245" s="167">
        <v>41</v>
      </c>
      <c r="O245" s="156">
        <v>2</v>
      </c>
      <c r="P245" s="166">
        <v>30</v>
      </c>
      <c r="Q245" s="166">
        <v>23</v>
      </c>
      <c r="R245" s="154">
        <v>2</v>
      </c>
      <c r="S245" s="167">
        <v>33</v>
      </c>
      <c r="T245" s="167">
        <v>36</v>
      </c>
      <c r="U245" s="156">
        <v>1</v>
      </c>
      <c r="V245" s="187">
        <f t="shared" si="15"/>
        <v>260</v>
      </c>
      <c r="W245" s="187">
        <f t="shared" si="13"/>
        <v>244</v>
      </c>
      <c r="X245" s="187">
        <f t="shared" si="14"/>
        <v>11</v>
      </c>
      <c r="Y245" s="170">
        <v>12</v>
      </c>
      <c r="Z245" s="170">
        <v>18</v>
      </c>
    </row>
    <row r="246" spans="1:26" ht="21" x14ac:dyDescent="0.3">
      <c r="A246" s="13">
        <v>7</v>
      </c>
      <c r="B246" s="317" t="s">
        <v>595</v>
      </c>
      <c r="C246" s="282" t="s">
        <v>602</v>
      </c>
      <c r="D246" s="166">
        <v>41</v>
      </c>
      <c r="E246" s="166">
        <v>39</v>
      </c>
      <c r="F246" s="154">
        <v>1</v>
      </c>
      <c r="G246" s="167">
        <v>27</v>
      </c>
      <c r="H246" s="167">
        <v>27</v>
      </c>
      <c r="I246" s="156">
        <v>1</v>
      </c>
      <c r="J246" s="166">
        <v>41</v>
      </c>
      <c r="K246" s="166">
        <v>33</v>
      </c>
      <c r="L246" s="154">
        <v>1</v>
      </c>
      <c r="M246" s="167">
        <v>23</v>
      </c>
      <c r="N246" s="167">
        <v>35</v>
      </c>
      <c r="O246" s="156">
        <v>1</v>
      </c>
      <c r="P246" s="166">
        <v>32</v>
      </c>
      <c r="Q246" s="166">
        <v>30</v>
      </c>
      <c r="R246" s="154">
        <v>1</v>
      </c>
      <c r="S246" s="167">
        <v>22</v>
      </c>
      <c r="T246" s="167">
        <v>29</v>
      </c>
      <c r="U246" s="156">
        <v>1</v>
      </c>
      <c r="V246" s="187">
        <f t="shared" si="15"/>
        <v>186</v>
      </c>
      <c r="W246" s="187">
        <f t="shared" si="13"/>
        <v>193</v>
      </c>
      <c r="X246" s="187">
        <f t="shared" si="14"/>
        <v>6</v>
      </c>
      <c r="Y246" s="170">
        <v>7</v>
      </c>
      <c r="Z246" s="170">
        <v>13</v>
      </c>
    </row>
    <row r="247" spans="1:26" ht="21" x14ac:dyDescent="0.3">
      <c r="A247" s="13">
        <v>8</v>
      </c>
      <c r="B247" s="317" t="s">
        <v>595</v>
      </c>
      <c r="C247" s="282" t="s">
        <v>603</v>
      </c>
      <c r="D247" s="288">
        <v>13</v>
      </c>
      <c r="E247" s="288">
        <v>18</v>
      </c>
      <c r="F247" s="154"/>
      <c r="G247" s="289">
        <v>21</v>
      </c>
      <c r="H247" s="289">
        <v>13</v>
      </c>
      <c r="I247" s="156"/>
      <c r="J247" s="288">
        <v>13</v>
      </c>
      <c r="K247" s="288">
        <v>18</v>
      </c>
      <c r="L247" s="154"/>
      <c r="M247" s="289">
        <v>17</v>
      </c>
      <c r="N247" s="289">
        <v>16</v>
      </c>
      <c r="O247" s="156"/>
      <c r="P247" s="288">
        <v>18</v>
      </c>
      <c r="Q247" s="288">
        <v>8</v>
      </c>
      <c r="R247" s="154"/>
      <c r="S247" s="289">
        <v>14</v>
      </c>
      <c r="T247" s="289">
        <v>31</v>
      </c>
      <c r="U247" s="156"/>
      <c r="V247" s="187">
        <f t="shared" si="15"/>
        <v>96</v>
      </c>
      <c r="W247" s="187">
        <f t="shared" si="13"/>
        <v>104</v>
      </c>
      <c r="X247" s="187">
        <f t="shared" si="14"/>
        <v>0</v>
      </c>
      <c r="Y247" s="274">
        <v>7</v>
      </c>
      <c r="Z247" s="274">
        <v>15</v>
      </c>
    </row>
    <row r="248" spans="1:26" ht="21" x14ac:dyDescent="0.3">
      <c r="A248" s="13">
        <v>9</v>
      </c>
      <c r="B248" s="317" t="s">
        <v>595</v>
      </c>
      <c r="C248" s="282" t="s">
        <v>604</v>
      </c>
      <c r="D248" s="154">
        <v>41</v>
      </c>
      <c r="E248" s="154">
        <v>31</v>
      </c>
      <c r="F248" s="154">
        <v>2</v>
      </c>
      <c r="G248" s="156">
        <v>39</v>
      </c>
      <c r="H248" s="156">
        <v>24</v>
      </c>
      <c r="I248" s="156">
        <v>2</v>
      </c>
      <c r="J248" s="154">
        <v>55</v>
      </c>
      <c r="K248" s="154">
        <v>24</v>
      </c>
      <c r="L248" s="154">
        <v>2</v>
      </c>
      <c r="M248" s="156">
        <v>32</v>
      </c>
      <c r="N248" s="156">
        <v>39</v>
      </c>
      <c r="O248" s="156">
        <v>2</v>
      </c>
      <c r="P248" s="154">
        <v>30</v>
      </c>
      <c r="Q248" s="154">
        <v>41</v>
      </c>
      <c r="R248" s="154">
        <v>2</v>
      </c>
      <c r="S248" s="156">
        <v>42</v>
      </c>
      <c r="T248" s="156">
        <v>41</v>
      </c>
      <c r="U248" s="156">
        <v>2</v>
      </c>
      <c r="V248" s="187">
        <f t="shared" si="15"/>
        <v>239</v>
      </c>
      <c r="W248" s="187">
        <f t="shared" si="13"/>
        <v>200</v>
      </c>
      <c r="X248" s="187">
        <f t="shared" si="14"/>
        <v>12</v>
      </c>
      <c r="Y248" s="191">
        <v>8</v>
      </c>
      <c r="Z248" s="191">
        <v>31</v>
      </c>
    </row>
    <row r="249" spans="1:26" ht="21" x14ac:dyDescent="0.3">
      <c r="A249" s="13">
        <v>10</v>
      </c>
      <c r="B249" s="317" t="s">
        <v>595</v>
      </c>
      <c r="C249" s="282" t="s">
        <v>605</v>
      </c>
      <c r="D249" s="166">
        <v>33</v>
      </c>
      <c r="E249" s="166">
        <v>29</v>
      </c>
      <c r="F249" s="154">
        <v>2</v>
      </c>
      <c r="G249" s="167">
        <v>37</v>
      </c>
      <c r="H249" s="167">
        <v>40</v>
      </c>
      <c r="I249" s="156">
        <v>2</v>
      </c>
      <c r="J249" s="166">
        <v>27</v>
      </c>
      <c r="K249" s="166">
        <v>43</v>
      </c>
      <c r="L249" s="154">
        <v>2</v>
      </c>
      <c r="M249" s="167">
        <v>11</v>
      </c>
      <c r="N249" s="167">
        <v>20</v>
      </c>
      <c r="O249" s="156">
        <v>1</v>
      </c>
      <c r="P249" s="166">
        <v>17</v>
      </c>
      <c r="Q249" s="166">
        <v>13</v>
      </c>
      <c r="R249" s="154">
        <v>1</v>
      </c>
      <c r="S249" s="167">
        <v>7</v>
      </c>
      <c r="T249" s="167">
        <v>15</v>
      </c>
      <c r="U249" s="156">
        <v>1</v>
      </c>
      <c r="V249" s="187">
        <f t="shared" si="15"/>
        <v>132</v>
      </c>
      <c r="W249" s="187">
        <f t="shared" si="13"/>
        <v>160</v>
      </c>
      <c r="X249" s="187">
        <f t="shared" si="14"/>
        <v>9</v>
      </c>
      <c r="Y249" s="170">
        <v>6</v>
      </c>
      <c r="Z249" s="170">
        <v>19</v>
      </c>
    </row>
    <row r="250" spans="1:26" ht="21" x14ac:dyDescent="0.3">
      <c r="A250" s="13">
        <v>11</v>
      </c>
      <c r="B250" s="317" t="s">
        <v>595</v>
      </c>
      <c r="C250" s="282" t="s">
        <v>606</v>
      </c>
      <c r="D250" s="166">
        <v>2</v>
      </c>
      <c r="E250" s="166">
        <v>3</v>
      </c>
      <c r="F250" s="154">
        <v>1</v>
      </c>
      <c r="G250" s="167">
        <v>10</v>
      </c>
      <c r="H250" s="167">
        <v>10</v>
      </c>
      <c r="I250" s="156">
        <v>1</v>
      </c>
      <c r="J250" s="166">
        <v>7</v>
      </c>
      <c r="K250" s="166">
        <v>7</v>
      </c>
      <c r="L250" s="154">
        <v>1</v>
      </c>
      <c r="M250" s="167">
        <v>0</v>
      </c>
      <c r="N250" s="167">
        <v>0</v>
      </c>
      <c r="O250" s="156">
        <v>1</v>
      </c>
      <c r="P250" s="166">
        <v>2</v>
      </c>
      <c r="Q250" s="166">
        <v>3</v>
      </c>
      <c r="R250" s="154">
        <v>1</v>
      </c>
      <c r="S250" s="167">
        <v>14</v>
      </c>
      <c r="T250" s="167">
        <v>22</v>
      </c>
      <c r="U250" s="156">
        <v>1</v>
      </c>
      <c r="V250" s="187">
        <f t="shared" si="15"/>
        <v>35</v>
      </c>
      <c r="W250" s="187">
        <f t="shared" si="13"/>
        <v>45</v>
      </c>
      <c r="X250" s="187">
        <f t="shared" si="14"/>
        <v>6</v>
      </c>
      <c r="Y250" s="170">
        <v>7</v>
      </c>
      <c r="Z250" s="170">
        <v>3</v>
      </c>
    </row>
    <row r="251" spans="1:26" ht="21" x14ac:dyDescent="0.3">
      <c r="A251" s="13">
        <v>1</v>
      </c>
      <c r="B251" s="317" t="s">
        <v>607</v>
      </c>
      <c r="C251" s="282" t="s">
        <v>608</v>
      </c>
      <c r="D251" s="154">
        <v>20</v>
      </c>
      <c r="E251" s="154">
        <v>25</v>
      </c>
      <c r="F251" s="154">
        <v>1</v>
      </c>
      <c r="G251" s="156">
        <v>14</v>
      </c>
      <c r="H251" s="156">
        <v>18</v>
      </c>
      <c r="I251" s="156">
        <v>1</v>
      </c>
      <c r="J251" s="154">
        <v>21</v>
      </c>
      <c r="K251" s="154">
        <v>24</v>
      </c>
      <c r="L251" s="154">
        <v>1</v>
      </c>
      <c r="M251" s="156">
        <v>7</v>
      </c>
      <c r="N251" s="156">
        <v>20</v>
      </c>
      <c r="O251" s="156">
        <v>1</v>
      </c>
      <c r="P251" s="154">
        <v>12</v>
      </c>
      <c r="Q251" s="154">
        <v>11</v>
      </c>
      <c r="R251" s="154">
        <v>1</v>
      </c>
      <c r="S251" s="156">
        <v>16</v>
      </c>
      <c r="T251" s="156">
        <v>23</v>
      </c>
      <c r="U251" s="156">
        <v>1</v>
      </c>
      <c r="V251" s="159">
        <f t="shared" si="15"/>
        <v>90</v>
      </c>
      <c r="W251" s="159">
        <f t="shared" si="13"/>
        <v>121</v>
      </c>
      <c r="X251" s="159">
        <f t="shared" si="14"/>
        <v>6</v>
      </c>
      <c r="Y251" s="191">
        <v>11</v>
      </c>
      <c r="Z251" s="191">
        <v>17</v>
      </c>
    </row>
    <row r="252" spans="1:26" ht="21" x14ac:dyDescent="0.3">
      <c r="A252" s="13">
        <v>2</v>
      </c>
      <c r="B252" s="317" t="s">
        <v>607</v>
      </c>
      <c r="C252" s="282" t="s">
        <v>609</v>
      </c>
      <c r="D252" s="154">
        <v>58</v>
      </c>
      <c r="E252" s="154">
        <v>47</v>
      </c>
      <c r="F252" s="154">
        <v>1</v>
      </c>
      <c r="G252" s="156">
        <v>26</v>
      </c>
      <c r="H252" s="156">
        <v>19</v>
      </c>
      <c r="I252" s="156">
        <v>1</v>
      </c>
      <c r="J252" s="154">
        <v>25</v>
      </c>
      <c r="K252" s="154">
        <v>33</v>
      </c>
      <c r="L252" s="154">
        <v>1</v>
      </c>
      <c r="M252" s="156">
        <v>7</v>
      </c>
      <c r="N252" s="156">
        <v>13</v>
      </c>
      <c r="O252" s="156">
        <v>1</v>
      </c>
      <c r="P252" s="154">
        <v>3</v>
      </c>
      <c r="Q252" s="154">
        <v>6</v>
      </c>
      <c r="R252" s="154">
        <v>1</v>
      </c>
      <c r="S252" s="156">
        <v>7</v>
      </c>
      <c r="T252" s="156">
        <v>29</v>
      </c>
      <c r="U252" s="156">
        <v>1</v>
      </c>
      <c r="V252" s="159">
        <f t="shared" si="15"/>
        <v>126</v>
      </c>
      <c r="W252" s="159">
        <f t="shared" si="13"/>
        <v>147</v>
      </c>
      <c r="X252" s="159">
        <f t="shared" si="14"/>
        <v>6</v>
      </c>
      <c r="Y252" s="191">
        <v>7</v>
      </c>
      <c r="Z252" s="191">
        <v>9</v>
      </c>
    </row>
    <row r="253" spans="1:26" ht="21" x14ac:dyDescent="0.3">
      <c r="A253" s="13">
        <v>3</v>
      </c>
      <c r="B253" s="317" t="s">
        <v>607</v>
      </c>
      <c r="C253" s="282" t="s">
        <v>610</v>
      </c>
      <c r="D253" s="154">
        <v>12</v>
      </c>
      <c r="E253" s="154">
        <v>13</v>
      </c>
      <c r="F253" s="154">
        <v>1</v>
      </c>
      <c r="G253" s="156">
        <v>8</v>
      </c>
      <c r="H253" s="156">
        <v>14</v>
      </c>
      <c r="I253" s="156">
        <v>1</v>
      </c>
      <c r="J253" s="154">
        <v>29</v>
      </c>
      <c r="K253" s="154">
        <v>37</v>
      </c>
      <c r="L253" s="154">
        <v>2</v>
      </c>
      <c r="M253" s="156">
        <v>6</v>
      </c>
      <c r="N253" s="156">
        <v>12</v>
      </c>
      <c r="O253" s="156">
        <v>1</v>
      </c>
      <c r="P253" s="154">
        <v>2</v>
      </c>
      <c r="Q253" s="154">
        <v>7</v>
      </c>
      <c r="R253" s="154">
        <v>1</v>
      </c>
      <c r="S253" s="156">
        <v>15</v>
      </c>
      <c r="T253" s="156">
        <v>37</v>
      </c>
      <c r="U253" s="156">
        <v>6</v>
      </c>
      <c r="V253" s="159">
        <f t="shared" si="15"/>
        <v>72</v>
      </c>
      <c r="W253" s="159">
        <f t="shared" si="13"/>
        <v>120</v>
      </c>
      <c r="X253" s="159">
        <f t="shared" si="14"/>
        <v>12</v>
      </c>
      <c r="Y253" s="191">
        <v>4</v>
      </c>
      <c r="Z253" s="191">
        <v>9</v>
      </c>
    </row>
    <row r="254" spans="1:26" ht="21" x14ac:dyDescent="0.3">
      <c r="A254" s="13">
        <v>4</v>
      </c>
      <c r="B254" s="317" t="s">
        <v>607</v>
      </c>
      <c r="C254" s="282" t="s">
        <v>611</v>
      </c>
      <c r="D254" s="166">
        <v>11</v>
      </c>
      <c r="E254" s="166">
        <v>17</v>
      </c>
      <c r="F254" s="154">
        <v>1</v>
      </c>
      <c r="G254" s="167">
        <v>13</v>
      </c>
      <c r="H254" s="167">
        <v>30</v>
      </c>
      <c r="I254" s="156">
        <v>1</v>
      </c>
      <c r="J254" s="166">
        <v>19</v>
      </c>
      <c r="K254" s="166">
        <v>8</v>
      </c>
      <c r="L254" s="154">
        <v>1</v>
      </c>
      <c r="M254" s="167">
        <v>18</v>
      </c>
      <c r="N254" s="167">
        <v>12</v>
      </c>
      <c r="O254" s="156">
        <v>1</v>
      </c>
      <c r="P254" s="166">
        <v>4</v>
      </c>
      <c r="Q254" s="166">
        <v>5</v>
      </c>
      <c r="R254" s="154">
        <v>1</v>
      </c>
      <c r="S254" s="185">
        <v>41</v>
      </c>
      <c r="T254" s="185">
        <v>43</v>
      </c>
      <c r="U254" s="156">
        <v>1</v>
      </c>
      <c r="V254" s="159">
        <f t="shared" si="15"/>
        <v>106</v>
      </c>
      <c r="W254" s="159">
        <f t="shared" si="13"/>
        <v>115</v>
      </c>
      <c r="X254" s="159">
        <f t="shared" si="14"/>
        <v>6</v>
      </c>
      <c r="Y254" s="170">
        <v>7</v>
      </c>
      <c r="Z254" s="170">
        <v>5</v>
      </c>
    </row>
    <row r="255" spans="1:26" ht="21" x14ac:dyDescent="0.3">
      <c r="A255" s="13">
        <v>5</v>
      </c>
      <c r="B255" s="317" t="s">
        <v>607</v>
      </c>
      <c r="C255" s="282" t="s">
        <v>612</v>
      </c>
      <c r="D255" s="210"/>
      <c r="E255" s="210"/>
      <c r="F255" s="210"/>
      <c r="G255" s="211"/>
      <c r="H255" s="211"/>
      <c r="I255" s="211"/>
      <c r="J255" s="210"/>
      <c r="K255" s="210"/>
      <c r="L255" s="210"/>
      <c r="M255" s="211"/>
      <c r="N255" s="211"/>
      <c r="O255" s="211"/>
      <c r="P255" s="210"/>
      <c r="Q255" s="210"/>
      <c r="R255" s="210"/>
      <c r="S255" s="211"/>
      <c r="T255" s="211"/>
      <c r="U255" s="211"/>
      <c r="V255" s="159">
        <f t="shared" si="15"/>
        <v>0</v>
      </c>
      <c r="W255" s="159">
        <f t="shared" si="13"/>
        <v>0</v>
      </c>
      <c r="X255" s="159">
        <f t="shared" si="14"/>
        <v>0</v>
      </c>
      <c r="Y255" s="213"/>
      <c r="Z255" s="213"/>
    </row>
    <row r="256" spans="1:26" ht="21" x14ac:dyDescent="0.3">
      <c r="A256" s="13">
        <v>6</v>
      </c>
      <c r="B256" s="317" t="s">
        <v>607</v>
      </c>
      <c r="C256" s="282" t="s">
        <v>613</v>
      </c>
      <c r="D256" s="166">
        <v>14</v>
      </c>
      <c r="E256" s="166">
        <v>8</v>
      </c>
      <c r="F256" s="154">
        <v>1</v>
      </c>
      <c r="G256" s="167">
        <v>3</v>
      </c>
      <c r="H256" s="167">
        <v>5</v>
      </c>
      <c r="I256" s="156">
        <v>1</v>
      </c>
      <c r="J256" s="166">
        <v>12</v>
      </c>
      <c r="K256" s="166">
        <v>11</v>
      </c>
      <c r="L256" s="154">
        <v>1</v>
      </c>
      <c r="M256" s="167">
        <v>5</v>
      </c>
      <c r="N256" s="167">
        <v>1</v>
      </c>
      <c r="O256" s="156">
        <v>1</v>
      </c>
      <c r="P256" s="166">
        <v>6</v>
      </c>
      <c r="Q256" s="166">
        <v>4</v>
      </c>
      <c r="R256" s="154">
        <v>1</v>
      </c>
      <c r="S256" s="167">
        <v>22</v>
      </c>
      <c r="T256" s="167">
        <v>25</v>
      </c>
      <c r="U256" s="156">
        <v>1</v>
      </c>
      <c r="V256" s="159">
        <f t="shared" si="15"/>
        <v>62</v>
      </c>
      <c r="W256" s="159">
        <f t="shared" si="13"/>
        <v>54</v>
      </c>
      <c r="X256" s="159">
        <f t="shared" si="14"/>
        <v>6</v>
      </c>
      <c r="Y256" s="170">
        <v>9</v>
      </c>
      <c r="Z256" s="170">
        <v>5</v>
      </c>
    </row>
    <row r="257" spans="1:26" ht="21" x14ac:dyDescent="0.3">
      <c r="A257" s="13">
        <v>7</v>
      </c>
      <c r="B257" s="317" t="s">
        <v>607</v>
      </c>
      <c r="C257" s="282" t="s">
        <v>614</v>
      </c>
      <c r="D257" s="166">
        <v>14</v>
      </c>
      <c r="E257" s="166">
        <v>4</v>
      </c>
      <c r="F257" s="186">
        <v>1</v>
      </c>
      <c r="G257" s="167">
        <v>9</v>
      </c>
      <c r="H257" s="167">
        <v>1</v>
      </c>
      <c r="I257" s="158">
        <v>1</v>
      </c>
      <c r="J257" s="166">
        <v>10</v>
      </c>
      <c r="K257" s="166">
        <v>3</v>
      </c>
      <c r="L257" s="186">
        <v>1</v>
      </c>
      <c r="M257" s="167">
        <v>4</v>
      </c>
      <c r="N257" s="167">
        <v>4</v>
      </c>
      <c r="O257" s="158">
        <v>0</v>
      </c>
      <c r="P257" s="166">
        <v>2</v>
      </c>
      <c r="Q257" s="166">
        <v>2</v>
      </c>
      <c r="R257" s="186">
        <v>1</v>
      </c>
      <c r="S257" s="167">
        <v>1</v>
      </c>
      <c r="T257" s="167">
        <v>1</v>
      </c>
      <c r="U257" s="158">
        <v>1</v>
      </c>
      <c r="V257" s="159">
        <f t="shared" si="15"/>
        <v>40</v>
      </c>
      <c r="W257" s="159">
        <f t="shared" si="13"/>
        <v>15</v>
      </c>
      <c r="X257" s="159">
        <f t="shared" si="14"/>
        <v>5</v>
      </c>
      <c r="Y257" s="170">
        <v>7</v>
      </c>
      <c r="Z257" s="170">
        <v>3</v>
      </c>
    </row>
    <row r="258" spans="1:26" ht="21" x14ac:dyDescent="0.3">
      <c r="A258" s="13">
        <v>8</v>
      </c>
      <c r="B258" s="317" t="s">
        <v>607</v>
      </c>
      <c r="C258" s="282" t="s">
        <v>615</v>
      </c>
      <c r="D258" s="210">
        <v>6</v>
      </c>
      <c r="E258" s="210">
        <v>3</v>
      </c>
      <c r="F258" s="210"/>
      <c r="G258" s="211">
        <v>2</v>
      </c>
      <c r="H258" s="211">
        <v>2</v>
      </c>
      <c r="I258" s="211">
        <v>1</v>
      </c>
      <c r="J258" s="210">
        <v>2</v>
      </c>
      <c r="K258" s="210">
        <v>2</v>
      </c>
      <c r="L258" s="210">
        <v>1</v>
      </c>
      <c r="M258" s="211">
        <v>3</v>
      </c>
      <c r="N258" s="211">
        <v>1</v>
      </c>
      <c r="O258" s="211">
        <v>1</v>
      </c>
      <c r="P258" s="210">
        <v>0</v>
      </c>
      <c r="Q258" s="210">
        <v>0</v>
      </c>
      <c r="R258" s="210">
        <v>0</v>
      </c>
      <c r="S258" s="211">
        <v>0</v>
      </c>
      <c r="T258" s="211">
        <v>0</v>
      </c>
      <c r="U258" s="211"/>
      <c r="V258" s="159">
        <f t="shared" si="15"/>
        <v>13</v>
      </c>
      <c r="W258" s="159">
        <f t="shared" si="13"/>
        <v>8</v>
      </c>
      <c r="X258" s="159">
        <f t="shared" si="14"/>
        <v>3</v>
      </c>
      <c r="Y258" s="213">
        <v>4</v>
      </c>
      <c r="Z258" s="213">
        <v>0</v>
      </c>
    </row>
    <row r="259" spans="1:26" ht="21" x14ac:dyDescent="0.3">
      <c r="A259" s="13">
        <v>1</v>
      </c>
      <c r="B259" s="317" t="s">
        <v>616</v>
      </c>
      <c r="C259" s="282" t="s">
        <v>617</v>
      </c>
      <c r="D259" s="166">
        <v>29</v>
      </c>
      <c r="E259" s="166">
        <v>24</v>
      </c>
      <c r="F259" s="154">
        <v>1</v>
      </c>
      <c r="G259" s="167">
        <v>27</v>
      </c>
      <c r="H259" s="167">
        <v>16</v>
      </c>
      <c r="I259" s="156">
        <v>1</v>
      </c>
      <c r="J259" s="166">
        <v>14</v>
      </c>
      <c r="K259" s="166">
        <v>26</v>
      </c>
      <c r="L259" s="154">
        <v>1</v>
      </c>
      <c r="M259" s="167">
        <v>18</v>
      </c>
      <c r="N259" s="167">
        <v>25</v>
      </c>
      <c r="O259" s="156">
        <v>1</v>
      </c>
      <c r="P259" s="166">
        <v>5</v>
      </c>
      <c r="Q259" s="166">
        <v>11</v>
      </c>
      <c r="R259" s="154">
        <v>1</v>
      </c>
      <c r="S259" s="167">
        <v>5</v>
      </c>
      <c r="T259" s="167">
        <v>10</v>
      </c>
      <c r="U259" s="156">
        <v>1</v>
      </c>
      <c r="V259" s="150">
        <f t="shared" si="15"/>
        <v>98</v>
      </c>
      <c r="W259" s="150">
        <f t="shared" si="13"/>
        <v>112</v>
      </c>
      <c r="X259" s="150">
        <f t="shared" si="14"/>
        <v>6</v>
      </c>
      <c r="Y259" s="170">
        <v>10</v>
      </c>
      <c r="Z259" s="170">
        <v>10</v>
      </c>
    </row>
    <row r="260" spans="1:26" ht="21" x14ac:dyDescent="0.3">
      <c r="A260" s="13">
        <v>2</v>
      </c>
      <c r="B260" s="317" t="s">
        <v>616</v>
      </c>
      <c r="C260" s="282" t="s">
        <v>618</v>
      </c>
      <c r="D260" s="154">
        <v>16</v>
      </c>
      <c r="E260" s="154">
        <v>20</v>
      </c>
      <c r="F260" s="154">
        <v>3</v>
      </c>
      <c r="G260" s="156">
        <v>21</v>
      </c>
      <c r="H260" s="156">
        <v>13</v>
      </c>
      <c r="I260" s="156">
        <v>3</v>
      </c>
      <c r="J260" s="154">
        <v>13</v>
      </c>
      <c r="K260" s="154">
        <v>18</v>
      </c>
      <c r="L260" s="154">
        <v>3</v>
      </c>
      <c r="M260" s="156">
        <v>17</v>
      </c>
      <c r="N260" s="156">
        <v>16</v>
      </c>
      <c r="O260" s="156">
        <v>2</v>
      </c>
      <c r="P260" s="154">
        <v>18</v>
      </c>
      <c r="Q260" s="154">
        <v>8</v>
      </c>
      <c r="R260" s="154">
        <v>2</v>
      </c>
      <c r="S260" s="156">
        <v>14</v>
      </c>
      <c r="T260" s="156">
        <v>31</v>
      </c>
      <c r="U260" s="156">
        <v>2</v>
      </c>
      <c r="V260" s="150">
        <f t="shared" si="15"/>
        <v>99</v>
      </c>
      <c r="W260" s="150">
        <f t="shared" si="13"/>
        <v>106</v>
      </c>
      <c r="X260" s="150">
        <f t="shared" si="14"/>
        <v>15</v>
      </c>
      <c r="Y260" s="191">
        <v>7</v>
      </c>
      <c r="Z260" s="191">
        <v>15</v>
      </c>
    </row>
    <row r="261" spans="1:26" ht="21" x14ac:dyDescent="0.3">
      <c r="A261" s="13">
        <v>3</v>
      </c>
      <c r="B261" s="317" t="s">
        <v>616</v>
      </c>
      <c r="C261" s="282" t="s">
        <v>619</v>
      </c>
      <c r="D261" s="166">
        <v>60</v>
      </c>
      <c r="E261" s="166">
        <v>69</v>
      </c>
      <c r="F261" s="154">
        <v>3</v>
      </c>
      <c r="G261" s="167">
        <v>42</v>
      </c>
      <c r="H261" s="167">
        <v>56</v>
      </c>
      <c r="I261" s="156">
        <v>2</v>
      </c>
      <c r="J261" s="166">
        <v>46</v>
      </c>
      <c r="K261" s="166">
        <v>62</v>
      </c>
      <c r="L261" s="154">
        <v>2</v>
      </c>
      <c r="M261" s="167">
        <v>31</v>
      </c>
      <c r="N261" s="167">
        <v>35</v>
      </c>
      <c r="O261" s="156">
        <v>2</v>
      </c>
      <c r="P261" s="166">
        <v>29</v>
      </c>
      <c r="Q261" s="166">
        <v>55</v>
      </c>
      <c r="R261" s="154">
        <v>2</v>
      </c>
      <c r="S261" s="185">
        <v>39</v>
      </c>
      <c r="T261" s="185">
        <v>39</v>
      </c>
      <c r="U261" s="156">
        <v>2</v>
      </c>
      <c r="V261" s="150">
        <f t="shared" si="15"/>
        <v>247</v>
      </c>
      <c r="W261" s="150">
        <f t="shared" si="13"/>
        <v>316</v>
      </c>
      <c r="X261" s="150">
        <f t="shared" si="14"/>
        <v>13</v>
      </c>
      <c r="Y261" s="170">
        <v>15</v>
      </c>
      <c r="Z261" s="170">
        <v>10</v>
      </c>
    </row>
    <row r="262" spans="1:26" ht="21" x14ac:dyDescent="0.3">
      <c r="A262" s="13">
        <v>4</v>
      </c>
      <c r="B262" s="317" t="s">
        <v>616</v>
      </c>
      <c r="C262" s="282" t="s">
        <v>620</v>
      </c>
      <c r="D262" s="162">
        <v>25</v>
      </c>
      <c r="E262" s="162">
        <v>18</v>
      </c>
      <c r="F262" s="154">
        <v>1</v>
      </c>
      <c r="G262" s="161">
        <v>37</v>
      </c>
      <c r="H262" s="161">
        <v>24</v>
      </c>
      <c r="I262" s="156">
        <v>1</v>
      </c>
      <c r="J262" s="162">
        <v>27</v>
      </c>
      <c r="K262" s="162">
        <v>12</v>
      </c>
      <c r="L262" s="154">
        <v>1</v>
      </c>
      <c r="M262" s="161">
        <v>15</v>
      </c>
      <c r="N262" s="161">
        <v>13</v>
      </c>
      <c r="O262" s="156">
        <v>1</v>
      </c>
      <c r="P262" s="162">
        <v>3</v>
      </c>
      <c r="Q262" s="162">
        <v>16</v>
      </c>
      <c r="R262" s="154">
        <v>1</v>
      </c>
      <c r="S262" s="161">
        <v>3</v>
      </c>
      <c r="T262" s="161">
        <v>8</v>
      </c>
      <c r="U262" s="156">
        <v>1</v>
      </c>
      <c r="V262" s="150">
        <f t="shared" si="15"/>
        <v>110</v>
      </c>
      <c r="W262" s="150">
        <f t="shared" si="13"/>
        <v>91</v>
      </c>
      <c r="X262" s="150">
        <f t="shared" si="14"/>
        <v>6</v>
      </c>
      <c r="Y262" s="165">
        <v>2</v>
      </c>
      <c r="Z262" s="191">
        <v>7</v>
      </c>
    </row>
    <row r="263" spans="1:26" ht="21" x14ac:dyDescent="0.3">
      <c r="A263" s="13">
        <v>5</v>
      </c>
      <c r="B263" s="317" t="s">
        <v>616</v>
      </c>
      <c r="C263" s="282" t="s">
        <v>621</v>
      </c>
      <c r="D263" s="154">
        <v>20</v>
      </c>
      <c r="E263" s="154">
        <v>20</v>
      </c>
      <c r="F263" s="154">
        <v>2</v>
      </c>
      <c r="G263" s="156">
        <v>23</v>
      </c>
      <c r="H263" s="156">
        <v>9</v>
      </c>
      <c r="I263" s="156">
        <v>1</v>
      </c>
      <c r="J263" s="154">
        <v>14</v>
      </c>
      <c r="K263" s="154">
        <v>12</v>
      </c>
      <c r="L263" s="154">
        <v>1</v>
      </c>
      <c r="M263" s="156">
        <v>21</v>
      </c>
      <c r="N263" s="156">
        <v>18</v>
      </c>
      <c r="O263" s="156">
        <v>1</v>
      </c>
      <c r="P263" s="154">
        <v>24</v>
      </c>
      <c r="Q263" s="154">
        <v>26</v>
      </c>
      <c r="R263" s="154">
        <v>2</v>
      </c>
      <c r="S263" s="156">
        <v>26</v>
      </c>
      <c r="T263" s="156">
        <v>32</v>
      </c>
      <c r="U263" s="156">
        <v>2</v>
      </c>
      <c r="V263" s="150">
        <f t="shared" si="15"/>
        <v>128</v>
      </c>
      <c r="W263" s="150">
        <f t="shared" si="13"/>
        <v>117</v>
      </c>
      <c r="X263" s="150">
        <f t="shared" si="14"/>
        <v>9</v>
      </c>
      <c r="Y263" s="191">
        <v>12</v>
      </c>
      <c r="Z263" s="191">
        <v>14</v>
      </c>
    </row>
    <row r="264" spans="1:26" ht="21" x14ac:dyDescent="0.3">
      <c r="A264" s="13">
        <v>6</v>
      </c>
      <c r="B264" s="317" t="s">
        <v>616</v>
      </c>
      <c r="C264" s="282" t="s">
        <v>622</v>
      </c>
      <c r="D264" s="205">
        <v>22</v>
      </c>
      <c r="E264" s="205">
        <v>8</v>
      </c>
      <c r="F264" s="186">
        <v>1</v>
      </c>
      <c r="G264" s="206">
        <v>8</v>
      </c>
      <c r="H264" s="206">
        <v>10</v>
      </c>
      <c r="I264" s="158">
        <v>1</v>
      </c>
      <c r="J264" s="205">
        <v>13</v>
      </c>
      <c r="K264" s="205">
        <v>15</v>
      </c>
      <c r="L264" s="186">
        <v>1</v>
      </c>
      <c r="M264" s="206">
        <v>9</v>
      </c>
      <c r="N264" s="206">
        <v>9</v>
      </c>
      <c r="O264" s="158">
        <v>1</v>
      </c>
      <c r="P264" s="205">
        <v>5</v>
      </c>
      <c r="Q264" s="205">
        <v>7</v>
      </c>
      <c r="R264" s="186">
        <v>1</v>
      </c>
      <c r="S264" s="206"/>
      <c r="T264" s="206"/>
      <c r="U264" s="158">
        <v>1</v>
      </c>
      <c r="V264" s="150">
        <f t="shared" si="15"/>
        <v>57</v>
      </c>
      <c r="W264" s="150">
        <f t="shared" si="13"/>
        <v>49</v>
      </c>
      <c r="X264" s="150">
        <f t="shared" si="14"/>
        <v>6</v>
      </c>
      <c r="Y264" s="170">
        <v>12</v>
      </c>
      <c r="Z264" s="170">
        <v>9</v>
      </c>
    </row>
    <row r="265" spans="1:26" ht="21" x14ac:dyDescent="0.3">
      <c r="A265" s="13">
        <v>7</v>
      </c>
      <c r="B265" s="317" t="s">
        <v>616</v>
      </c>
      <c r="C265" s="282" t="s">
        <v>623</v>
      </c>
      <c r="D265" s="186">
        <v>26</v>
      </c>
      <c r="E265" s="186">
        <v>31</v>
      </c>
      <c r="F265" s="186">
        <v>1</v>
      </c>
      <c r="G265" s="158">
        <v>26</v>
      </c>
      <c r="H265" s="158">
        <v>34</v>
      </c>
      <c r="I265" s="158">
        <v>1</v>
      </c>
      <c r="J265" s="186">
        <v>34</v>
      </c>
      <c r="K265" s="186">
        <v>28</v>
      </c>
      <c r="L265" s="186">
        <v>1</v>
      </c>
      <c r="M265" s="158">
        <v>19</v>
      </c>
      <c r="N265" s="158">
        <v>12</v>
      </c>
      <c r="O265" s="158">
        <v>1</v>
      </c>
      <c r="P265" s="186">
        <v>34</v>
      </c>
      <c r="Q265" s="186">
        <v>28</v>
      </c>
      <c r="R265" s="186">
        <v>1</v>
      </c>
      <c r="S265" s="158">
        <v>24</v>
      </c>
      <c r="T265" s="158">
        <v>20</v>
      </c>
      <c r="U265" s="158">
        <v>0</v>
      </c>
      <c r="V265" s="150">
        <f t="shared" si="15"/>
        <v>163</v>
      </c>
      <c r="W265" s="150">
        <f t="shared" si="13"/>
        <v>153</v>
      </c>
      <c r="X265" s="150">
        <f t="shared" si="14"/>
        <v>5</v>
      </c>
      <c r="Y265" s="160">
        <v>2</v>
      </c>
      <c r="Z265" s="160">
        <v>12</v>
      </c>
    </row>
    <row r="266" spans="1:26" ht="21" x14ac:dyDescent="0.3">
      <c r="A266" s="13">
        <v>8</v>
      </c>
      <c r="B266" s="317" t="s">
        <v>616</v>
      </c>
      <c r="C266" s="282" t="s">
        <v>624</v>
      </c>
      <c r="D266" s="205">
        <v>6</v>
      </c>
      <c r="E266" s="205">
        <v>1</v>
      </c>
      <c r="F266" s="186">
        <v>1</v>
      </c>
      <c r="G266" s="206">
        <v>3</v>
      </c>
      <c r="H266" s="206">
        <v>3</v>
      </c>
      <c r="I266" s="158">
        <v>1</v>
      </c>
      <c r="J266" s="205">
        <v>12</v>
      </c>
      <c r="K266" s="205">
        <v>8</v>
      </c>
      <c r="L266" s="186">
        <v>1</v>
      </c>
      <c r="M266" s="206">
        <v>1</v>
      </c>
      <c r="N266" s="206">
        <v>0</v>
      </c>
      <c r="O266" s="158">
        <v>1</v>
      </c>
      <c r="P266" s="205">
        <v>0</v>
      </c>
      <c r="Q266" s="205">
        <v>3</v>
      </c>
      <c r="R266" s="186">
        <v>1</v>
      </c>
      <c r="S266" s="206">
        <v>18</v>
      </c>
      <c r="T266" s="206">
        <v>13</v>
      </c>
      <c r="U266" s="158">
        <v>1</v>
      </c>
      <c r="V266" s="150">
        <f t="shared" si="15"/>
        <v>40</v>
      </c>
      <c r="W266" s="150">
        <f t="shared" si="13"/>
        <v>28</v>
      </c>
      <c r="X266" s="150">
        <f t="shared" si="14"/>
        <v>6</v>
      </c>
      <c r="Y266" s="160"/>
      <c r="Z266" s="160"/>
    </row>
    <row r="267" spans="1:26" ht="21" x14ac:dyDescent="0.3">
      <c r="A267" s="13">
        <v>9</v>
      </c>
      <c r="B267" s="317" t="s">
        <v>616</v>
      </c>
      <c r="C267" s="282" t="s">
        <v>625</v>
      </c>
      <c r="D267" s="166">
        <v>4</v>
      </c>
      <c r="E267" s="166">
        <v>2</v>
      </c>
      <c r="F267" s="186">
        <v>1</v>
      </c>
      <c r="G267" s="167">
        <v>1</v>
      </c>
      <c r="H267" s="167">
        <v>0</v>
      </c>
      <c r="I267" s="158">
        <v>1</v>
      </c>
      <c r="J267" s="166">
        <v>2</v>
      </c>
      <c r="K267" s="166">
        <v>2</v>
      </c>
      <c r="L267" s="186">
        <v>1</v>
      </c>
      <c r="M267" s="167">
        <v>0</v>
      </c>
      <c r="N267" s="167">
        <v>1</v>
      </c>
      <c r="O267" s="158">
        <v>0</v>
      </c>
      <c r="P267" s="290">
        <v>2</v>
      </c>
      <c r="Q267" s="290">
        <v>0</v>
      </c>
      <c r="R267" s="186">
        <v>0</v>
      </c>
      <c r="S267" s="206">
        <v>0</v>
      </c>
      <c r="T267" s="206">
        <v>0</v>
      </c>
      <c r="U267" s="158">
        <v>0</v>
      </c>
      <c r="V267" s="150">
        <f t="shared" si="15"/>
        <v>9</v>
      </c>
      <c r="W267" s="150">
        <f t="shared" si="13"/>
        <v>5</v>
      </c>
      <c r="X267" s="150">
        <f t="shared" si="14"/>
        <v>3</v>
      </c>
      <c r="Y267" s="170">
        <v>11</v>
      </c>
      <c r="Z267" s="170">
        <v>6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R267"/>
  <sheetViews>
    <sheetView tabSelected="1" topLeftCell="K1" zoomScale="47" zoomScaleNormal="30" workbookViewId="0">
      <selection activeCell="AI16" sqref="AI16"/>
    </sheetView>
  </sheetViews>
  <sheetFormatPr defaultRowHeight="15" x14ac:dyDescent="0.25"/>
  <cols>
    <col min="1" max="1" width="10.42578125" bestFit="1" customWidth="1"/>
    <col min="2" max="2" width="23.5703125" bestFit="1" customWidth="1"/>
    <col min="3" max="3" width="49.28515625" customWidth="1"/>
    <col min="4" max="4" width="14.140625" bestFit="1" customWidth="1"/>
    <col min="5" max="5" width="10.42578125" bestFit="1" customWidth="1"/>
    <col min="6" max="6" width="11.85546875" bestFit="1" customWidth="1"/>
    <col min="7" max="7" width="8.85546875" bestFit="1" customWidth="1"/>
    <col min="8" max="8" width="10.42578125" bestFit="1" customWidth="1"/>
    <col min="9" max="9" width="11.85546875" bestFit="1" customWidth="1"/>
    <col min="10" max="10" width="8.85546875" bestFit="1" customWidth="1"/>
    <col min="11" max="12" width="11.85546875" bestFit="1" customWidth="1"/>
    <col min="13" max="13" width="14.140625" bestFit="1" customWidth="1"/>
    <col min="14" max="14" width="10.42578125" bestFit="1" customWidth="1"/>
    <col min="15" max="15" width="8.85546875" bestFit="1" customWidth="1"/>
    <col min="16" max="16" width="14.140625" bestFit="1" customWidth="1"/>
    <col min="17" max="17" width="8.85546875" bestFit="1" customWidth="1"/>
    <col min="18" max="18" width="14.140625" bestFit="1" customWidth="1"/>
    <col min="19" max="19" width="8.85546875" bestFit="1" customWidth="1"/>
    <col min="20" max="20" width="10.42578125" bestFit="1" customWidth="1"/>
    <col min="21" max="21" width="8.85546875" bestFit="1" customWidth="1"/>
    <col min="22" max="22" width="10.42578125" bestFit="1" customWidth="1"/>
    <col min="23" max="23" width="8.85546875" bestFit="1" customWidth="1"/>
    <col min="24" max="24" width="11.85546875" bestFit="1" customWidth="1"/>
    <col min="25" max="25" width="10.42578125" bestFit="1" customWidth="1"/>
    <col min="26" max="26" width="8.85546875" bestFit="1" customWidth="1"/>
    <col min="27" max="27" width="10.42578125" bestFit="1" customWidth="1"/>
    <col min="28" max="28" width="8.85546875" bestFit="1" customWidth="1"/>
    <col min="29" max="29" width="10.42578125" bestFit="1" customWidth="1"/>
    <col min="30" max="30" width="8.85546875" bestFit="1" customWidth="1"/>
    <col min="31" max="34" width="10.42578125" bestFit="1" customWidth="1"/>
    <col min="35" max="39" width="8.85546875" bestFit="1" customWidth="1"/>
    <col min="40" max="40" width="11.7109375" customWidth="1"/>
    <col min="41" max="41" width="20.42578125" customWidth="1"/>
    <col min="42" max="42" width="21.42578125" customWidth="1"/>
  </cols>
  <sheetData>
    <row r="1" spans="1:43" ht="21" x14ac:dyDescent="0.35">
      <c r="A1" s="319" t="s">
        <v>627</v>
      </c>
      <c r="B1" s="318" t="s">
        <v>664</v>
      </c>
      <c r="C1" s="320" t="s">
        <v>665</v>
      </c>
      <c r="D1" s="1" t="s">
        <v>698</v>
      </c>
      <c r="E1" s="2" t="s">
        <v>699</v>
      </c>
      <c r="F1" s="2" t="s">
        <v>700</v>
      </c>
      <c r="G1" s="2" t="s">
        <v>701</v>
      </c>
      <c r="H1" s="2" t="s">
        <v>702</v>
      </c>
      <c r="I1" s="2" t="s">
        <v>703</v>
      </c>
      <c r="J1" s="2" t="s">
        <v>704</v>
      </c>
      <c r="K1" s="2" t="s">
        <v>705</v>
      </c>
      <c r="L1" s="2" t="s">
        <v>706</v>
      </c>
      <c r="M1" s="2" t="s">
        <v>707</v>
      </c>
      <c r="N1" s="2" t="s">
        <v>11</v>
      </c>
      <c r="O1" s="2" t="s">
        <v>708</v>
      </c>
      <c r="P1" s="2" t="s">
        <v>709</v>
      </c>
      <c r="Q1" s="2" t="s">
        <v>710</v>
      </c>
      <c r="R1" s="2" t="s">
        <v>15</v>
      </c>
      <c r="S1" s="2" t="s">
        <v>711</v>
      </c>
      <c r="T1" s="2" t="s">
        <v>712</v>
      </c>
      <c r="U1" s="2" t="s">
        <v>713</v>
      </c>
      <c r="V1" s="2" t="s">
        <v>714</v>
      </c>
      <c r="W1" s="2" t="s">
        <v>715</v>
      </c>
      <c r="X1" s="2" t="s">
        <v>21</v>
      </c>
      <c r="Y1" s="2" t="s">
        <v>716</v>
      </c>
      <c r="Z1" s="2" t="s">
        <v>717</v>
      </c>
      <c r="AA1" s="2" t="s">
        <v>718</v>
      </c>
      <c r="AB1" s="2" t="s">
        <v>719</v>
      </c>
      <c r="AC1" s="2" t="s">
        <v>26</v>
      </c>
      <c r="AD1" s="3" t="s">
        <v>720</v>
      </c>
      <c r="AE1" s="2" t="s">
        <v>28</v>
      </c>
      <c r="AF1" s="2" t="s">
        <v>29</v>
      </c>
      <c r="AG1" s="2" t="s">
        <v>721</v>
      </c>
      <c r="AH1" s="2" t="s">
        <v>722</v>
      </c>
      <c r="AI1" s="2" t="s">
        <v>723</v>
      </c>
      <c r="AJ1" s="2" t="s">
        <v>724</v>
      </c>
      <c r="AK1" s="2" t="s">
        <v>725</v>
      </c>
      <c r="AL1" s="2" t="s">
        <v>726</v>
      </c>
      <c r="AM1" s="2" t="s">
        <v>36</v>
      </c>
      <c r="AN1" s="14" t="s">
        <v>727</v>
      </c>
      <c r="AO1" s="14" t="s">
        <v>728</v>
      </c>
    </row>
    <row r="2" spans="1:43" ht="21" x14ac:dyDescent="0.35">
      <c r="A2" s="36">
        <v>1</v>
      </c>
      <c r="B2" s="313" t="s">
        <v>689</v>
      </c>
      <c r="C2" s="37" t="s">
        <v>47</v>
      </c>
      <c r="D2" s="38">
        <v>9</v>
      </c>
      <c r="E2" s="39">
        <v>0</v>
      </c>
      <c r="F2" s="40">
        <v>4</v>
      </c>
      <c r="G2" s="39">
        <v>0</v>
      </c>
      <c r="H2" s="39">
        <v>1</v>
      </c>
      <c r="I2" s="39">
        <v>4</v>
      </c>
      <c r="J2" s="41">
        <v>0</v>
      </c>
      <c r="K2" s="41">
        <v>2</v>
      </c>
      <c r="L2" s="42">
        <v>3</v>
      </c>
      <c r="M2" s="41">
        <v>54</v>
      </c>
      <c r="N2" s="41">
        <v>0</v>
      </c>
      <c r="O2" s="41">
        <v>1</v>
      </c>
      <c r="P2" s="39">
        <v>76</v>
      </c>
      <c r="Q2" s="39">
        <v>0</v>
      </c>
      <c r="R2" s="39">
        <v>22</v>
      </c>
      <c r="S2" s="39">
        <v>0</v>
      </c>
      <c r="T2" s="39">
        <v>0</v>
      </c>
      <c r="U2" s="39">
        <v>0</v>
      </c>
      <c r="V2" s="41">
        <v>0</v>
      </c>
      <c r="W2" s="41">
        <v>0</v>
      </c>
      <c r="X2" s="41">
        <v>0</v>
      </c>
      <c r="Y2" s="41">
        <v>0</v>
      </c>
      <c r="Z2" s="41">
        <v>0</v>
      </c>
      <c r="AA2" s="41">
        <v>1</v>
      </c>
      <c r="AB2" s="39">
        <v>0</v>
      </c>
      <c r="AC2" s="39">
        <v>0</v>
      </c>
      <c r="AD2" s="39">
        <v>1</v>
      </c>
      <c r="AE2" s="39">
        <v>0</v>
      </c>
      <c r="AF2" s="39">
        <v>0</v>
      </c>
      <c r="AG2" s="39">
        <v>1</v>
      </c>
      <c r="AH2" s="41">
        <v>0</v>
      </c>
      <c r="AI2" s="41">
        <v>0</v>
      </c>
      <c r="AJ2" s="41">
        <v>0</v>
      </c>
      <c r="AK2" s="41">
        <v>0</v>
      </c>
      <c r="AL2" s="41">
        <v>0</v>
      </c>
      <c r="AM2" s="41">
        <v>0</v>
      </c>
      <c r="AN2" s="43">
        <v>0</v>
      </c>
      <c r="AO2" s="44" t="s">
        <v>48</v>
      </c>
      <c r="AP2" s="304">
        <f>D2+E2+F2+G2+H2+I2+J2+K2+L2+M2+N2+O2+P2+Q2+R2+S2+T2+U2+V2+W2+X2+Y2+Z2+AA2+AB2+AC2+AD2+AE2+AF2+AG2+AH2+AI2+AJ2+AK2+AL2+AM2+AN2</f>
        <v>179</v>
      </c>
      <c r="AQ2" s="16"/>
    </row>
    <row r="3" spans="1:43" ht="21" x14ac:dyDescent="0.35">
      <c r="A3" s="36">
        <v>2</v>
      </c>
      <c r="B3" s="313" t="s">
        <v>689</v>
      </c>
      <c r="C3" s="37" t="s">
        <v>49</v>
      </c>
      <c r="D3" s="38">
        <v>24</v>
      </c>
      <c r="E3" s="39"/>
      <c r="F3" s="40">
        <v>3</v>
      </c>
      <c r="G3" s="39"/>
      <c r="H3" s="39"/>
      <c r="I3" s="39">
        <v>1</v>
      </c>
      <c r="J3" s="41"/>
      <c r="K3" s="41">
        <v>4</v>
      </c>
      <c r="L3" s="42"/>
      <c r="M3" s="41">
        <v>94</v>
      </c>
      <c r="N3" s="41">
        <v>1</v>
      </c>
      <c r="O3" s="41"/>
      <c r="P3" s="39">
        <v>85</v>
      </c>
      <c r="Q3" s="39"/>
      <c r="R3" s="39">
        <v>20</v>
      </c>
      <c r="S3" s="39"/>
      <c r="T3" s="39">
        <v>2</v>
      </c>
      <c r="U3" s="39"/>
      <c r="V3" s="41"/>
      <c r="W3" s="41"/>
      <c r="X3" s="41"/>
      <c r="Y3" s="41"/>
      <c r="Z3" s="41"/>
      <c r="AA3" s="41"/>
      <c r="AB3" s="39"/>
      <c r="AC3" s="39"/>
      <c r="AD3" s="39">
        <v>2</v>
      </c>
      <c r="AE3" s="39"/>
      <c r="AF3" s="39"/>
      <c r="AG3" s="39"/>
      <c r="AH3" s="41">
        <v>1</v>
      </c>
      <c r="AI3" s="41"/>
      <c r="AJ3" s="41"/>
      <c r="AK3" s="41"/>
      <c r="AL3" s="41"/>
      <c r="AM3" s="41"/>
      <c r="AN3" s="43"/>
      <c r="AO3" s="44"/>
      <c r="AP3" s="304">
        <f t="shared" ref="AP3:AP22" si="0">D3+E3+F3+G3+H3+I3+J3+K3+L3+M3+N3+O3+P3+Q3+R3+S3+T3+U3+V3+W3+X3+Y3+Z3+AA3+AB3+AC3+AD3+AE3+AF3+AG3+AH3+AI3+AJ3+AK3+AL3+AM3+AN3</f>
        <v>237</v>
      </c>
      <c r="AQ3" s="16"/>
    </row>
    <row r="4" spans="1:43" ht="21" x14ac:dyDescent="0.35">
      <c r="A4" s="36">
        <v>3</v>
      </c>
      <c r="B4" s="313" t="s">
        <v>689</v>
      </c>
      <c r="C4" s="45" t="s">
        <v>51</v>
      </c>
      <c r="D4" s="46">
        <v>19</v>
      </c>
      <c r="E4" s="47">
        <v>3</v>
      </c>
      <c r="F4" s="47">
        <v>3</v>
      </c>
      <c r="G4" s="47"/>
      <c r="H4" s="47"/>
      <c r="I4" s="47">
        <v>12</v>
      </c>
      <c r="J4" s="48"/>
      <c r="K4" s="48">
        <v>3</v>
      </c>
      <c r="L4" s="49">
        <v>1</v>
      </c>
      <c r="M4" s="48">
        <v>194</v>
      </c>
      <c r="N4" s="48"/>
      <c r="O4" s="48"/>
      <c r="P4" s="47">
        <v>106</v>
      </c>
      <c r="Q4" s="47"/>
      <c r="R4" s="47">
        <v>44</v>
      </c>
      <c r="S4" s="47"/>
      <c r="T4" s="47"/>
      <c r="U4" s="47"/>
      <c r="V4" s="48"/>
      <c r="W4" s="48"/>
      <c r="X4" s="48">
        <v>1</v>
      </c>
      <c r="Y4" s="48">
        <v>1</v>
      </c>
      <c r="Z4" s="48"/>
      <c r="AA4" s="48"/>
      <c r="AB4" s="47"/>
      <c r="AC4" s="47">
        <v>1</v>
      </c>
      <c r="AD4" s="47"/>
      <c r="AE4" s="47">
        <v>2</v>
      </c>
      <c r="AF4" s="47"/>
      <c r="AG4" s="47"/>
      <c r="AH4" s="48">
        <v>1</v>
      </c>
      <c r="AI4" s="48"/>
      <c r="AJ4" s="48"/>
      <c r="AK4" s="48"/>
      <c r="AL4" s="48"/>
      <c r="AM4" s="48"/>
      <c r="AN4" s="50"/>
      <c r="AO4" s="51">
        <f>SUM(D4:AN4)</f>
        <v>391</v>
      </c>
      <c r="AP4" s="304">
        <f t="shared" si="0"/>
        <v>391</v>
      </c>
    </row>
    <row r="5" spans="1:43" ht="21" x14ac:dyDescent="0.35">
      <c r="A5" s="36">
        <v>4</v>
      </c>
      <c r="B5" s="313" t="s">
        <v>689</v>
      </c>
      <c r="C5" s="45" t="s">
        <v>52</v>
      </c>
      <c r="D5" s="46">
        <v>3</v>
      </c>
      <c r="E5" s="47"/>
      <c r="F5" s="47">
        <v>2</v>
      </c>
      <c r="G5" s="47"/>
      <c r="H5" s="47"/>
      <c r="I5" s="47"/>
      <c r="J5" s="48"/>
      <c r="K5" s="48">
        <v>2</v>
      </c>
      <c r="L5" s="48">
        <v>3</v>
      </c>
      <c r="M5" s="48">
        <v>12</v>
      </c>
      <c r="N5" s="48"/>
      <c r="O5" s="48"/>
      <c r="P5" s="47">
        <v>12</v>
      </c>
      <c r="Q5" s="47"/>
      <c r="R5" s="47">
        <v>2</v>
      </c>
      <c r="S5" s="47"/>
      <c r="T5" s="47"/>
      <c r="U5" s="47"/>
      <c r="V5" s="48"/>
      <c r="W5" s="48"/>
      <c r="X5" s="48">
        <v>1</v>
      </c>
      <c r="Y5" s="48"/>
      <c r="Z5" s="48"/>
      <c r="AA5" s="48"/>
      <c r="AB5" s="47"/>
      <c r="AC5" s="47"/>
      <c r="AD5" s="47"/>
      <c r="AE5" s="47"/>
      <c r="AF5" s="47">
        <v>1</v>
      </c>
      <c r="AG5" s="47"/>
      <c r="AH5" s="48"/>
      <c r="AI5" s="48"/>
      <c r="AJ5" s="48"/>
      <c r="AK5" s="48"/>
      <c r="AL5" s="48"/>
      <c r="AM5" s="48"/>
      <c r="AN5" s="50"/>
      <c r="AO5" s="51">
        <f>SUM(D5:AN5)</f>
        <v>38</v>
      </c>
      <c r="AP5" s="304">
        <f t="shared" si="0"/>
        <v>38</v>
      </c>
    </row>
    <row r="6" spans="1:43" ht="21" x14ac:dyDescent="0.35">
      <c r="A6" s="36">
        <v>5</v>
      </c>
      <c r="B6" s="313" t="s">
        <v>689</v>
      </c>
      <c r="C6" s="45" t="s">
        <v>53</v>
      </c>
      <c r="D6" s="52">
        <v>8</v>
      </c>
      <c r="E6" s="47"/>
      <c r="F6" s="53">
        <v>6</v>
      </c>
      <c r="G6" s="47"/>
      <c r="H6" s="47"/>
      <c r="I6" s="47"/>
      <c r="J6" s="48"/>
      <c r="K6" s="48">
        <v>1</v>
      </c>
      <c r="L6" s="54"/>
      <c r="M6" s="48">
        <v>30</v>
      </c>
      <c r="N6" s="48"/>
      <c r="O6" s="48"/>
      <c r="P6" s="47">
        <v>28</v>
      </c>
      <c r="Q6" s="47"/>
      <c r="R6" s="47">
        <v>48</v>
      </c>
      <c r="S6" s="47"/>
      <c r="T6" s="47"/>
      <c r="U6" s="47"/>
      <c r="V6" s="55"/>
      <c r="W6" s="48"/>
      <c r="X6" s="48"/>
      <c r="Y6" s="48"/>
      <c r="Z6" s="48"/>
      <c r="AA6" s="48">
        <v>1</v>
      </c>
      <c r="AB6" s="47"/>
      <c r="AC6" s="47">
        <v>1</v>
      </c>
      <c r="AD6" s="47"/>
      <c r="AE6" s="47">
        <v>1</v>
      </c>
      <c r="AF6" s="47"/>
      <c r="AG6" s="47"/>
      <c r="AH6" s="48"/>
      <c r="AI6" s="56"/>
      <c r="AJ6" s="48"/>
      <c r="AK6" s="48"/>
      <c r="AL6" s="48"/>
      <c r="AM6" s="48"/>
      <c r="AN6" s="50"/>
      <c r="AO6" s="51">
        <f>SUM(D6:AN6)</f>
        <v>124</v>
      </c>
      <c r="AP6" s="304">
        <f t="shared" si="0"/>
        <v>124</v>
      </c>
    </row>
    <row r="7" spans="1:43" ht="21" x14ac:dyDescent="0.35">
      <c r="A7" s="36">
        <v>6</v>
      </c>
      <c r="B7" s="313" t="s">
        <v>689</v>
      </c>
      <c r="C7" s="45" t="s">
        <v>54</v>
      </c>
      <c r="D7" s="46">
        <v>8</v>
      </c>
      <c r="E7" s="47"/>
      <c r="F7" s="47"/>
      <c r="G7" s="47"/>
      <c r="H7" s="47"/>
      <c r="I7" s="47"/>
      <c r="J7" s="48"/>
      <c r="K7" s="48"/>
      <c r="L7" s="48"/>
      <c r="M7" s="48">
        <v>27</v>
      </c>
      <c r="N7" s="48">
        <v>2</v>
      </c>
      <c r="O7" s="48"/>
      <c r="P7" s="47">
        <v>17</v>
      </c>
      <c r="Q7" s="47"/>
      <c r="R7" s="47">
        <v>20</v>
      </c>
      <c r="S7" s="47"/>
      <c r="T7" s="47"/>
      <c r="U7" s="47"/>
      <c r="V7" s="48"/>
      <c r="W7" s="48"/>
      <c r="X7" s="48"/>
      <c r="Y7" s="48"/>
      <c r="Z7" s="48"/>
      <c r="AA7" s="48"/>
      <c r="AB7" s="47"/>
      <c r="AC7" s="47">
        <v>1</v>
      </c>
      <c r="AD7" s="47"/>
      <c r="AE7" s="47"/>
      <c r="AF7" s="47">
        <v>1</v>
      </c>
      <c r="AG7" s="47"/>
      <c r="AH7" s="48"/>
      <c r="AI7" s="48"/>
      <c r="AJ7" s="48"/>
      <c r="AK7" s="48"/>
      <c r="AL7" s="48"/>
      <c r="AM7" s="48"/>
      <c r="AN7" s="50">
        <v>1</v>
      </c>
      <c r="AO7" s="51" t="s">
        <v>196</v>
      </c>
      <c r="AP7" s="304">
        <f t="shared" si="0"/>
        <v>77</v>
      </c>
    </row>
    <row r="8" spans="1:43" ht="21" x14ac:dyDescent="0.35">
      <c r="A8" s="36">
        <v>7</v>
      </c>
      <c r="B8" s="313" t="s">
        <v>689</v>
      </c>
      <c r="C8" s="45" t="s">
        <v>55</v>
      </c>
      <c r="D8" s="52">
        <v>10</v>
      </c>
      <c r="E8" s="47">
        <v>1</v>
      </c>
      <c r="F8" s="53">
        <v>8</v>
      </c>
      <c r="G8" s="47"/>
      <c r="H8" s="47"/>
      <c r="I8" s="47">
        <v>1</v>
      </c>
      <c r="J8" s="48"/>
      <c r="K8" s="48">
        <v>2</v>
      </c>
      <c r="L8" s="54"/>
      <c r="M8" s="48">
        <v>11</v>
      </c>
      <c r="N8" s="48"/>
      <c r="O8" s="48"/>
      <c r="P8" s="47">
        <v>13</v>
      </c>
      <c r="Q8" s="47"/>
      <c r="R8" s="47">
        <v>9</v>
      </c>
      <c r="S8" s="47"/>
      <c r="T8" s="47"/>
      <c r="U8" s="47"/>
      <c r="V8" s="55"/>
      <c r="W8" s="48"/>
      <c r="X8" s="48"/>
      <c r="Y8" s="48"/>
      <c r="Z8" s="48"/>
      <c r="AA8" s="48"/>
      <c r="AB8" s="47"/>
      <c r="AC8" s="47"/>
      <c r="AD8" s="47"/>
      <c r="AE8" s="47"/>
      <c r="AF8" s="47"/>
      <c r="AG8" s="47"/>
      <c r="AH8" s="48"/>
      <c r="AI8" s="48"/>
      <c r="AJ8" s="48"/>
      <c r="AK8" s="48"/>
      <c r="AL8" s="48"/>
      <c r="AM8" s="48"/>
      <c r="AN8" s="50"/>
      <c r="AO8" s="51">
        <f>SUM(D8:AN8)</f>
        <v>55</v>
      </c>
      <c r="AP8" s="304">
        <f t="shared" si="0"/>
        <v>55</v>
      </c>
    </row>
    <row r="9" spans="1:43" ht="21" x14ac:dyDescent="0.35">
      <c r="A9" s="36">
        <v>8</v>
      </c>
      <c r="B9" s="313" t="s">
        <v>689</v>
      </c>
      <c r="C9" s="45" t="s">
        <v>56</v>
      </c>
      <c r="D9" s="52">
        <v>3</v>
      </c>
      <c r="E9" s="47"/>
      <c r="F9" s="53">
        <v>2</v>
      </c>
      <c r="G9" s="47"/>
      <c r="H9" s="47"/>
      <c r="I9" s="47"/>
      <c r="J9" s="48"/>
      <c r="K9" s="48"/>
      <c r="L9" s="54"/>
      <c r="M9" s="48">
        <v>13</v>
      </c>
      <c r="N9" s="48"/>
      <c r="O9" s="48"/>
      <c r="P9" s="47">
        <v>14</v>
      </c>
      <c r="Q9" s="47"/>
      <c r="R9" s="47">
        <v>8</v>
      </c>
      <c r="S9" s="47"/>
      <c r="T9" s="47"/>
      <c r="U9" s="47"/>
      <c r="V9" s="55"/>
      <c r="W9" s="48"/>
      <c r="X9" s="48">
        <v>1</v>
      </c>
      <c r="Y9" s="48"/>
      <c r="Z9" s="48"/>
      <c r="AA9" s="48"/>
      <c r="AB9" s="47"/>
      <c r="AC9" s="47"/>
      <c r="AD9" s="47"/>
      <c r="AE9" s="47">
        <v>1</v>
      </c>
      <c r="AF9" s="47"/>
      <c r="AG9" s="47"/>
      <c r="AH9" s="48"/>
      <c r="AI9" s="48"/>
      <c r="AJ9" s="48"/>
      <c r="AK9" s="48"/>
      <c r="AL9" s="48"/>
      <c r="AM9" s="48"/>
      <c r="AN9" s="50"/>
      <c r="AO9" s="51">
        <f>SUM(D9:AN9)</f>
        <v>42</v>
      </c>
      <c r="AP9" s="304">
        <f t="shared" si="0"/>
        <v>42</v>
      </c>
    </row>
    <row r="10" spans="1:43" ht="21" x14ac:dyDescent="0.35">
      <c r="A10" s="36">
        <v>9</v>
      </c>
      <c r="B10" s="313" t="s">
        <v>689</v>
      </c>
      <c r="C10" s="45" t="s">
        <v>57</v>
      </c>
      <c r="D10" s="52">
        <v>3</v>
      </c>
      <c r="E10" s="47"/>
      <c r="F10" s="53"/>
      <c r="G10" s="47"/>
      <c r="H10" s="47"/>
      <c r="I10" s="47"/>
      <c r="J10" s="48"/>
      <c r="K10" s="48"/>
      <c r="L10" s="54">
        <v>1</v>
      </c>
      <c r="M10" s="48">
        <v>11</v>
      </c>
      <c r="N10" s="48"/>
      <c r="O10" s="48"/>
      <c r="P10" s="47">
        <v>7</v>
      </c>
      <c r="Q10" s="47"/>
      <c r="R10" s="47">
        <v>12</v>
      </c>
      <c r="S10" s="47"/>
      <c r="T10" s="47"/>
      <c r="U10" s="47"/>
      <c r="V10" s="55"/>
      <c r="W10" s="48"/>
      <c r="X10" s="48"/>
      <c r="Y10" s="48"/>
      <c r="Z10" s="48"/>
      <c r="AA10" s="48"/>
      <c r="AB10" s="47"/>
      <c r="AC10" s="47">
        <v>1</v>
      </c>
      <c r="AD10" s="47"/>
      <c r="AE10" s="47"/>
      <c r="AF10" s="47"/>
      <c r="AG10" s="47"/>
      <c r="AH10" s="48"/>
      <c r="AI10" s="48"/>
      <c r="AJ10" s="48"/>
      <c r="AK10" s="48"/>
      <c r="AL10" s="48"/>
      <c r="AM10" s="48"/>
      <c r="AN10" s="50">
        <v>2</v>
      </c>
      <c r="AO10" s="51" t="s">
        <v>200</v>
      </c>
      <c r="AP10" s="304">
        <f t="shared" si="0"/>
        <v>37</v>
      </c>
    </row>
    <row r="11" spans="1:43" ht="21" x14ac:dyDescent="0.35">
      <c r="A11" s="36">
        <v>10</v>
      </c>
      <c r="B11" s="313" t="s">
        <v>689</v>
      </c>
      <c r="C11" s="45" t="s">
        <v>58</v>
      </c>
      <c r="D11" s="52">
        <v>2</v>
      </c>
      <c r="E11" s="47"/>
      <c r="F11" s="53"/>
      <c r="G11" s="47"/>
      <c r="H11" s="47"/>
      <c r="I11" s="47"/>
      <c r="J11" s="48"/>
      <c r="K11" s="48">
        <v>1</v>
      </c>
      <c r="L11" s="54"/>
      <c r="M11" s="48">
        <v>4</v>
      </c>
      <c r="N11" s="48"/>
      <c r="O11" s="48"/>
      <c r="P11" s="47">
        <v>3</v>
      </c>
      <c r="Q11" s="47"/>
      <c r="R11" s="47">
        <v>8</v>
      </c>
      <c r="S11" s="47"/>
      <c r="T11" s="47"/>
      <c r="U11" s="47"/>
      <c r="V11" s="55"/>
      <c r="W11" s="48"/>
      <c r="X11" s="48"/>
      <c r="Y11" s="48"/>
      <c r="Z11" s="48"/>
      <c r="AA11" s="48"/>
      <c r="AB11" s="47"/>
      <c r="AC11" s="47"/>
      <c r="AD11" s="47"/>
      <c r="AE11" s="47"/>
      <c r="AF11" s="47"/>
      <c r="AG11" s="47">
        <v>1</v>
      </c>
      <c r="AH11" s="48">
        <v>1</v>
      </c>
      <c r="AI11" s="48"/>
      <c r="AJ11" s="48"/>
      <c r="AK11" s="48"/>
      <c r="AL11" s="48"/>
      <c r="AM11" s="48"/>
      <c r="AN11" s="50"/>
      <c r="AO11" s="51">
        <f t="shared" ref="AO11:AO22" si="1">SUM(D11:AN11)</f>
        <v>20</v>
      </c>
      <c r="AP11" s="304">
        <f t="shared" si="0"/>
        <v>20</v>
      </c>
    </row>
    <row r="12" spans="1:43" ht="21" x14ac:dyDescent="0.35">
      <c r="A12" s="36">
        <v>11</v>
      </c>
      <c r="B12" s="313" t="s">
        <v>689</v>
      </c>
      <c r="C12" s="45" t="s">
        <v>59</v>
      </c>
      <c r="D12" s="52">
        <v>31</v>
      </c>
      <c r="E12" s="57"/>
      <c r="F12" s="58"/>
      <c r="G12" s="57"/>
      <c r="H12" s="57"/>
      <c r="I12" s="57"/>
      <c r="J12" s="55"/>
      <c r="K12" s="55"/>
      <c r="L12" s="59"/>
      <c r="M12" s="55">
        <v>20</v>
      </c>
      <c r="N12" s="55"/>
      <c r="O12" s="55"/>
      <c r="P12" s="57">
        <v>27</v>
      </c>
      <c r="Q12" s="57"/>
      <c r="R12" s="57">
        <v>40</v>
      </c>
      <c r="S12" s="57"/>
      <c r="T12" s="57"/>
      <c r="U12" s="57"/>
      <c r="V12" s="55"/>
      <c r="W12" s="55"/>
      <c r="X12" s="55">
        <v>6</v>
      </c>
      <c r="Y12" s="55"/>
      <c r="Z12" s="55"/>
      <c r="AA12" s="55"/>
      <c r="AB12" s="57"/>
      <c r="AC12" s="57"/>
      <c r="AD12" s="57">
        <v>2</v>
      </c>
      <c r="AE12" s="57"/>
      <c r="AF12" s="57"/>
      <c r="AG12" s="57"/>
      <c r="AH12" s="55"/>
      <c r="AI12" s="55"/>
      <c r="AJ12" s="55"/>
      <c r="AK12" s="55"/>
      <c r="AL12" s="55"/>
      <c r="AM12" s="55"/>
      <c r="AN12" s="60"/>
      <c r="AO12" s="61">
        <f t="shared" si="1"/>
        <v>126</v>
      </c>
      <c r="AP12" s="304">
        <f t="shared" si="0"/>
        <v>126</v>
      </c>
      <c r="AQ12" s="17"/>
    </row>
    <row r="13" spans="1:43" ht="21" x14ac:dyDescent="0.35">
      <c r="A13" s="36">
        <v>12</v>
      </c>
      <c r="B13" s="313" t="s">
        <v>689</v>
      </c>
      <c r="C13" s="45" t="s">
        <v>60</v>
      </c>
      <c r="D13" s="52">
        <v>4</v>
      </c>
      <c r="E13" s="47"/>
      <c r="F13" s="53"/>
      <c r="G13" s="47"/>
      <c r="H13" s="47"/>
      <c r="I13" s="47">
        <v>1</v>
      </c>
      <c r="J13" s="48"/>
      <c r="K13" s="48">
        <v>1</v>
      </c>
      <c r="L13" s="54"/>
      <c r="M13" s="48">
        <v>15</v>
      </c>
      <c r="N13" s="48"/>
      <c r="O13" s="48">
        <v>1</v>
      </c>
      <c r="P13" s="47">
        <v>32</v>
      </c>
      <c r="Q13" s="47"/>
      <c r="R13" s="47">
        <v>25</v>
      </c>
      <c r="S13" s="47"/>
      <c r="T13" s="47"/>
      <c r="U13" s="47"/>
      <c r="V13" s="55"/>
      <c r="W13" s="48"/>
      <c r="X13" s="48"/>
      <c r="Y13" s="48"/>
      <c r="Z13" s="48"/>
      <c r="AA13" s="48"/>
      <c r="AB13" s="47"/>
      <c r="AC13" s="47"/>
      <c r="AD13" s="47"/>
      <c r="AE13" s="47"/>
      <c r="AF13" s="47"/>
      <c r="AG13" s="47">
        <v>1</v>
      </c>
      <c r="AH13" s="48"/>
      <c r="AI13" s="48"/>
      <c r="AJ13" s="48"/>
      <c r="AK13" s="48"/>
      <c r="AL13" s="48"/>
      <c r="AM13" s="48"/>
      <c r="AN13" s="50"/>
      <c r="AO13" s="51">
        <f t="shared" si="1"/>
        <v>80</v>
      </c>
      <c r="AP13" s="304">
        <f t="shared" si="0"/>
        <v>80</v>
      </c>
    </row>
    <row r="14" spans="1:43" ht="21" x14ac:dyDescent="0.35">
      <c r="A14" s="36">
        <v>13</v>
      </c>
      <c r="B14" s="313" t="s">
        <v>689</v>
      </c>
      <c r="C14" s="45" t="s">
        <v>61</v>
      </c>
      <c r="D14" s="52">
        <v>2</v>
      </c>
      <c r="E14" s="47"/>
      <c r="F14" s="53">
        <v>3</v>
      </c>
      <c r="G14" s="47"/>
      <c r="H14" s="47"/>
      <c r="I14" s="47"/>
      <c r="J14" s="48"/>
      <c r="K14" s="48">
        <v>1</v>
      </c>
      <c r="L14" s="54"/>
      <c r="M14" s="48">
        <v>9</v>
      </c>
      <c r="N14" s="48"/>
      <c r="O14" s="48"/>
      <c r="P14" s="47">
        <v>10</v>
      </c>
      <c r="Q14" s="47"/>
      <c r="R14" s="47">
        <v>6</v>
      </c>
      <c r="S14" s="47"/>
      <c r="T14" s="47"/>
      <c r="U14" s="47"/>
      <c r="V14" s="55"/>
      <c r="W14" s="48"/>
      <c r="X14" s="48"/>
      <c r="Y14" s="48"/>
      <c r="Z14" s="48"/>
      <c r="AA14" s="48"/>
      <c r="AB14" s="47"/>
      <c r="AC14" s="47"/>
      <c r="AD14" s="47"/>
      <c r="AE14" s="47"/>
      <c r="AF14" s="47"/>
      <c r="AG14" s="47"/>
      <c r="AH14" s="48"/>
      <c r="AI14" s="48"/>
      <c r="AJ14" s="48"/>
      <c r="AK14" s="48"/>
      <c r="AL14" s="48"/>
      <c r="AM14" s="48"/>
      <c r="AN14" s="50"/>
      <c r="AO14" s="51">
        <f t="shared" si="1"/>
        <v>31</v>
      </c>
      <c r="AP14" s="304">
        <f t="shared" si="0"/>
        <v>31</v>
      </c>
    </row>
    <row r="15" spans="1:43" ht="21" x14ac:dyDescent="0.35">
      <c r="A15" s="36">
        <v>14</v>
      </c>
      <c r="B15" s="313" t="s">
        <v>689</v>
      </c>
      <c r="C15" s="45" t="s">
        <v>62</v>
      </c>
      <c r="D15" s="46"/>
      <c r="E15" s="47"/>
      <c r="F15" s="47"/>
      <c r="G15" s="47"/>
      <c r="H15" s="47"/>
      <c r="I15" s="47"/>
      <c r="J15" s="48"/>
      <c r="K15" s="48"/>
      <c r="L15" s="48">
        <v>1</v>
      </c>
      <c r="M15" s="48">
        <v>5</v>
      </c>
      <c r="N15" s="48"/>
      <c r="O15" s="48"/>
      <c r="P15" s="47">
        <v>11</v>
      </c>
      <c r="Q15" s="47"/>
      <c r="R15" s="47">
        <v>9</v>
      </c>
      <c r="S15" s="47"/>
      <c r="T15" s="47"/>
      <c r="U15" s="47"/>
      <c r="V15" s="48"/>
      <c r="W15" s="48"/>
      <c r="X15" s="48"/>
      <c r="Y15" s="48"/>
      <c r="Z15" s="48"/>
      <c r="AA15" s="48"/>
      <c r="AB15" s="47"/>
      <c r="AC15" s="47"/>
      <c r="AD15" s="47"/>
      <c r="AE15" s="47"/>
      <c r="AF15" s="47"/>
      <c r="AG15" s="47"/>
      <c r="AH15" s="48"/>
      <c r="AI15" s="48"/>
      <c r="AJ15" s="48"/>
      <c r="AK15" s="48"/>
      <c r="AL15" s="48"/>
      <c r="AM15" s="48"/>
      <c r="AN15" s="50"/>
      <c r="AO15" s="51">
        <f t="shared" si="1"/>
        <v>26</v>
      </c>
      <c r="AP15" s="304">
        <f t="shared" si="0"/>
        <v>26</v>
      </c>
    </row>
    <row r="16" spans="1:43" ht="21" x14ac:dyDescent="0.35">
      <c r="A16" s="36">
        <v>15</v>
      </c>
      <c r="B16" s="313" t="s">
        <v>689</v>
      </c>
      <c r="C16" s="45" t="s">
        <v>63</v>
      </c>
      <c r="D16" s="52">
        <v>5</v>
      </c>
      <c r="E16" s="47"/>
      <c r="F16" s="53">
        <v>1</v>
      </c>
      <c r="G16" s="47"/>
      <c r="H16" s="47"/>
      <c r="I16" s="47"/>
      <c r="J16" s="48"/>
      <c r="K16" s="48"/>
      <c r="L16" s="54"/>
      <c r="M16" s="48">
        <v>20</v>
      </c>
      <c r="N16" s="48"/>
      <c r="O16" s="48"/>
      <c r="P16" s="47">
        <v>15</v>
      </c>
      <c r="Q16" s="47"/>
      <c r="R16" s="47">
        <v>7</v>
      </c>
      <c r="S16" s="47"/>
      <c r="T16" s="47"/>
      <c r="U16" s="47"/>
      <c r="V16" s="55"/>
      <c r="W16" s="48"/>
      <c r="X16" s="48"/>
      <c r="Y16" s="48"/>
      <c r="Z16" s="48"/>
      <c r="AA16" s="48"/>
      <c r="AB16" s="47"/>
      <c r="AC16" s="47"/>
      <c r="AD16" s="47"/>
      <c r="AE16" s="47"/>
      <c r="AF16" s="47"/>
      <c r="AG16" s="47">
        <v>1</v>
      </c>
      <c r="AH16" s="48"/>
      <c r="AI16" s="48"/>
      <c r="AJ16" s="48"/>
      <c r="AK16" s="48"/>
      <c r="AL16" s="48"/>
      <c r="AM16" s="48"/>
      <c r="AN16" s="50"/>
      <c r="AO16" s="51">
        <f t="shared" si="1"/>
        <v>49</v>
      </c>
      <c r="AP16" s="304">
        <f t="shared" si="0"/>
        <v>49</v>
      </c>
    </row>
    <row r="17" spans="1:42" ht="21" x14ac:dyDescent="0.35">
      <c r="A17" s="36">
        <v>16</v>
      </c>
      <c r="B17" s="313" t="s">
        <v>689</v>
      </c>
      <c r="C17" s="45" t="s">
        <v>64</v>
      </c>
      <c r="D17" s="52">
        <v>4</v>
      </c>
      <c r="E17" s="47"/>
      <c r="F17" s="53">
        <v>1</v>
      </c>
      <c r="G17" s="47"/>
      <c r="H17" s="47"/>
      <c r="I17" s="47"/>
      <c r="J17" s="54"/>
      <c r="K17" s="54"/>
      <c r="L17" s="54"/>
      <c r="M17" s="48">
        <v>25</v>
      </c>
      <c r="N17" s="48"/>
      <c r="O17" s="48"/>
      <c r="P17" s="47">
        <v>12</v>
      </c>
      <c r="Q17" s="47"/>
      <c r="R17" s="47">
        <v>6</v>
      </c>
      <c r="S17" s="47"/>
      <c r="T17" s="47">
        <v>1</v>
      </c>
      <c r="U17" s="47"/>
      <c r="V17" s="55"/>
      <c r="W17" s="48"/>
      <c r="X17" s="48"/>
      <c r="Y17" s="48"/>
      <c r="Z17" s="48"/>
      <c r="AA17" s="48"/>
      <c r="AB17" s="47"/>
      <c r="AC17" s="47"/>
      <c r="AD17" s="47"/>
      <c r="AE17" s="47"/>
      <c r="AF17" s="47"/>
      <c r="AG17" s="47"/>
      <c r="AH17" s="48"/>
      <c r="AI17" s="48"/>
      <c r="AJ17" s="48"/>
      <c r="AK17" s="48"/>
      <c r="AL17" s="48"/>
      <c r="AM17" s="48"/>
      <c r="AN17" s="50"/>
      <c r="AO17" s="51">
        <f t="shared" si="1"/>
        <v>49</v>
      </c>
      <c r="AP17" s="304">
        <f t="shared" si="0"/>
        <v>49</v>
      </c>
    </row>
    <row r="18" spans="1:42" ht="21" x14ac:dyDescent="0.35">
      <c r="A18" s="36">
        <v>17</v>
      </c>
      <c r="B18" s="313" t="s">
        <v>689</v>
      </c>
      <c r="C18" s="62" t="s">
        <v>65</v>
      </c>
      <c r="D18" s="52"/>
      <c r="E18" s="57"/>
      <c r="F18" s="53"/>
      <c r="G18" s="47"/>
      <c r="H18" s="47"/>
      <c r="I18" s="47">
        <v>1</v>
      </c>
      <c r="J18" s="48"/>
      <c r="K18" s="48"/>
      <c r="L18" s="54"/>
      <c r="M18" s="48">
        <v>3</v>
      </c>
      <c r="N18" s="48"/>
      <c r="O18" s="48"/>
      <c r="P18" s="47">
        <v>9</v>
      </c>
      <c r="Q18" s="47"/>
      <c r="R18" s="47">
        <v>2</v>
      </c>
      <c r="S18" s="47"/>
      <c r="T18" s="47"/>
      <c r="U18" s="47"/>
      <c r="V18" s="55"/>
      <c r="W18" s="55"/>
      <c r="X18" s="48"/>
      <c r="Y18" s="48"/>
      <c r="Z18" s="48"/>
      <c r="AA18" s="48"/>
      <c r="AB18" s="47"/>
      <c r="AC18" s="47"/>
      <c r="AD18" s="47"/>
      <c r="AE18" s="47"/>
      <c r="AF18" s="47"/>
      <c r="AG18" s="47">
        <v>1</v>
      </c>
      <c r="AH18" s="48"/>
      <c r="AI18" s="48"/>
      <c r="AJ18" s="48"/>
      <c r="AK18" s="48"/>
      <c r="AL18" s="48"/>
      <c r="AM18" s="48"/>
      <c r="AN18" s="50"/>
      <c r="AO18" s="51">
        <f t="shared" si="1"/>
        <v>16</v>
      </c>
      <c r="AP18" s="304">
        <f t="shared" si="0"/>
        <v>16</v>
      </c>
    </row>
    <row r="19" spans="1:42" ht="21" x14ac:dyDescent="0.35">
      <c r="A19" s="36">
        <v>18</v>
      </c>
      <c r="B19" s="313" t="s">
        <v>689</v>
      </c>
      <c r="C19" s="45" t="s">
        <v>66</v>
      </c>
      <c r="D19" s="52"/>
      <c r="E19" s="47">
        <v>1</v>
      </c>
      <c r="F19" s="53">
        <v>6</v>
      </c>
      <c r="G19" s="47"/>
      <c r="H19" s="47"/>
      <c r="I19" s="47">
        <v>3</v>
      </c>
      <c r="J19" s="48"/>
      <c r="K19" s="48"/>
      <c r="L19" s="54"/>
      <c r="M19" s="48">
        <v>21</v>
      </c>
      <c r="N19" s="48"/>
      <c r="O19" s="48"/>
      <c r="P19" s="47">
        <v>2</v>
      </c>
      <c r="Q19" s="47"/>
      <c r="R19" s="47">
        <v>30</v>
      </c>
      <c r="S19" s="47"/>
      <c r="T19" s="47"/>
      <c r="U19" s="47"/>
      <c r="V19" s="55"/>
      <c r="W19" s="48"/>
      <c r="X19" s="48"/>
      <c r="Y19" s="48"/>
      <c r="Z19" s="48"/>
      <c r="AA19" s="48"/>
      <c r="AB19" s="47"/>
      <c r="AC19" s="47"/>
      <c r="AD19" s="47"/>
      <c r="AE19" s="47"/>
      <c r="AF19" s="47"/>
      <c r="AG19" s="47"/>
      <c r="AH19" s="48"/>
      <c r="AI19" s="48"/>
      <c r="AJ19" s="48"/>
      <c r="AK19" s="48"/>
      <c r="AL19" s="48"/>
      <c r="AM19" s="48"/>
      <c r="AN19" s="50"/>
      <c r="AO19" s="51">
        <f t="shared" si="1"/>
        <v>63</v>
      </c>
      <c r="AP19" s="304">
        <f t="shared" si="0"/>
        <v>63</v>
      </c>
    </row>
    <row r="20" spans="1:42" ht="21" x14ac:dyDescent="0.35">
      <c r="A20" s="36">
        <v>19</v>
      </c>
      <c r="B20" s="313" t="s">
        <v>689</v>
      </c>
      <c r="C20" s="45" t="s">
        <v>67</v>
      </c>
      <c r="D20" s="63">
        <v>6</v>
      </c>
      <c r="E20" s="64"/>
      <c r="F20" s="65"/>
      <c r="G20" s="64"/>
      <c r="H20" s="64"/>
      <c r="I20" s="64">
        <v>1</v>
      </c>
      <c r="J20" s="66"/>
      <c r="K20" s="66"/>
      <c r="L20" s="67">
        <v>3</v>
      </c>
      <c r="M20" s="66">
        <v>33</v>
      </c>
      <c r="N20" s="66"/>
      <c r="O20" s="66"/>
      <c r="P20" s="64">
        <v>33</v>
      </c>
      <c r="Q20" s="64"/>
      <c r="R20" s="64">
        <v>14</v>
      </c>
      <c r="S20" s="64"/>
      <c r="T20" s="64"/>
      <c r="U20" s="64"/>
      <c r="V20" s="66"/>
      <c r="W20" s="66"/>
      <c r="X20" s="66">
        <v>1</v>
      </c>
      <c r="Y20" s="66"/>
      <c r="Z20" s="66"/>
      <c r="AA20" s="66"/>
      <c r="AB20" s="64"/>
      <c r="AC20" s="64"/>
      <c r="AD20" s="64"/>
      <c r="AE20" s="64"/>
      <c r="AF20" s="64"/>
      <c r="AG20" s="64">
        <v>2</v>
      </c>
      <c r="AH20" s="66"/>
      <c r="AI20" s="66"/>
      <c r="AJ20" s="66"/>
      <c r="AK20" s="66"/>
      <c r="AL20" s="66"/>
      <c r="AM20" s="66"/>
      <c r="AN20" s="68"/>
      <c r="AO20" s="51">
        <f t="shared" si="1"/>
        <v>93</v>
      </c>
      <c r="AP20" s="304">
        <f t="shared" si="0"/>
        <v>93</v>
      </c>
    </row>
    <row r="21" spans="1:42" ht="21" x14ac:dyDescent="0.35">
      <c r="A21" s="36">
        <v>20</v>
      </c>
      <c r="B21" s="313" t="s">
        <v>689</v>
      </c>
      <c r="C21" s="45" t="s">
        <v>68</v>
      </c>
      <c r="D21" s="69"/>
      <c r="E21" s="53"/>
      <c r="F21" s="53"/>
      <c r="G21" s="53"/>
      <c r="H21" s="53"/>
      <c r="I21" s="53"/>
      <c r="J21" s="48"/>
      <c r="K21" s="48">
        <v>1</v>
      </c>
      <c r="L21" s="54"/>
      <c r="M21" s="48">
        <v>3</v>
      </c>
      <c r="N21" s="48"/>
      <c r="O21" s="48"/>
      <c r="P21" s="47">
        <v>4</v>
      </c>
      <c r="Q21" s="47"/>
      <c r="R21" s="47">
        <v>2</v>
      </c>
      <c r="S21" s="47"/>
      <c r="T21" s="47"/>
      <c r="U21" s="47"/>
      <c r="V21" s="55"/>
      <c r="W21" s="48"/>
      <c r="X21" s="48"/>
      <c r="Y21" s="48"/>
      <c r="Z21" s="48"/>
      <c r="AA21" s="48"/>
      <c r="AB21" s="47"/>
      <c r="AC21" s="47"/>
      <c r="AD21" s="47"/>
      <c r="AE21" s="47"/>
      <c r="AF21" s="47"/>
      <c r="AG21" s="47"/>
      <c r="AH21" s="48"/>
      <c r="AI21" s="48"/>
      <c r="AJ21" s="48"/>
      <c r="AK21" s="48"/>
      <c r="AL21" s="48"/>
      <c r="AM21" s="48"/>
      <c r="AN21" s="50"/>
      <c r="AO21" s="51">
        <f t="shared" si="1"/>
        <v>10</v>
      </c>
      <c r="AP21" s="304">
        <f t="shared" si="0"/>
        <v>10</v>
      </c>
    </row>
    <row r="22" spans="1:42" ht="21" x14ac:dyDescent="0.35">
      <c r="A22" s="36">
        <v>21</v>
      </c>
      <c r="B22" s="313" t="s">
        <v>689</v>
      </c>
      <c r="C22" s="45" t="s">
        <v>69</v>
      </c>
      <c r="D22" s="46"/>
      <c r="E22" s="47"/>
      <c r="F22" s="53"/>
      <c r="G22" s="47"/>
      <c r="H22" s="47"/>
      <c r="I22" s="47">
        <v>1</v>
      </c>
      <c r="J22" s="48"/>
      <c r="K22" s="48"/>
      <c r="L22" s="54"/>
      <c r="M22" s="48">
        <v>13</v>
      </c>
      <c r="N22" s="48"/>
      <c r="O22" s="48"/>
      <c r="P22" s="47">
        <v>3</v>
      </c>
      <c r="Q22" s="47"/>
      <c r="R22" s="47">
        <v>5</v>
      </c>
      <c r="S22" s="47"/>
      <c r="T22" s="47"/>
      <c r="U22" s="47"/>
      <c r="V22" s="48"/>
      <c r="W22" s="48"/>
      <c r="X22" s="48"/>
      <c r="Y22" s="48"/>
      <c r="Z22" s="48"/>
      <c r="AA22" s="48"/>
      <c r="AB22" s="47"/>
      <c r="AC22" s="47"/>
      <c r="AD22" s="47"/>
      <c r="AE22" s="47"/>
      <c r="AF22" s="47"/>
      <c r="AG22" s="47"/>
      <c r="AH22" s="48"/>
      <c r="AI22" s="48"/>
      <c r="AJ22" s="48"/>
      <c r="AK22" s="48"/>
      <c r="AL22" s="48"/>
      <c r="AM22" s="48"/>
      <c r="AN22" s="50"/>
      <c r="AO22" s="51">
        <f t="shared" si="1"/>
        <v>22</v>
      </c>
      <c r="AP22" s="304">
        <f t="shared" si="0"/>
        <v>22</v>
      </c>
    </row>
    <row r="23" spans="1:42" ht="21" x14ac:dyDescent="0.35">
      <c r="A23" s="36">
        <v>1</v>
      </c>
      <c r="B23" s="313" t="s">
        <v>361</v>
      </c>
      <c r="C23" s="62" t="s">
        <v>70</v>
      </c>
      <c r="D23" s="46">
        <v>5</v>
      </c>
      <c r="E23" s="47"/>
      <c r="F23" s="53">
        <v>3</v>
      </c>
      <c r="G23" s="47"/>
      <c r="H23" s="47"/>
      <c r="I23" s="47">
        <v>5</v>
      </c>
      <c r="J23" s="48"/>
      <c r="K23" s="48">
        <v>4</v>
      </c>
      <c r="L23" s="54"/>
      <c r="M23" s="48">
        <v>29</v>
      </c>
      <c r="N23" s="48"/>
      <c r="O23" s="48"/>
      <c r="P23" s="47">
        <v>37</v>
      </c>
      <c r="Q23" s="47"/>
      <c r="R23" s="47">
        <v>8</v>
      </c>
      <c r="S23" s="47"/>
      <c r="T23" s="47"/>
      <c r="U23" s="47"/>
      <c r="V23" s="48"/>
      <c r="W23" s="48"/>
      <c r="X23" s="48"/>
      <c r="Y23" s="48"/>
      <c r="Z23" s="48"/>
      <c r="AA23" s="48"/>
      <c r="AB23" s="47"/>
      <c r="AC23" s="47"/>
      <c r="AD23" s="47"/>
      <c r="AE23" s="47"/>
      <c r="AF23" s="47"/>
      <c r="AG23" s="47"/>
      <c r="AH23" s="48"/>
      <c r="AI23" s="48"/>
      <c r="AJ23" s="48"/>
      <c r="AK23" s="48"/>
      <c r="AL23" s="48"/>
      <c r="AM23" s="48"/>
      <c r="AN23" s="50"/>
      <c r="AO23" s="51">
        <f>SUM(D23:AN23)</f>
        <v>91</v>
      </c>
      <c r="AP23" s="300">
        <f>D23+E23+F23+G23+H23+I23+J23+K23+L23+M23+N23+O23+P23+Q23+R23+S23+T23+U23+V23+W23+X23+Y23+Z23+AA23+AB23+AC23+AD23+AE23+AF23+AG23+AH23+AI23+AJ23+AK23+AL23+AM23+AN23</f>
        <v>91</v>
      </c>
    </row>
    <row r="24" spans="1:42" ht="21" x14ac:dyDescent="0.35">
      <c r="A24" s="36">
        <v>2</v>
      </c>
      <c r="B24" s="313" t="s">
        <v>361</v>
      </c>
      <c r="C24" s="62" t="s">
        <v>71</v>
      </c>
      <c r="D24" s="46">
        <v>11</v>
      </c>
      <c r="E24" s="47"/>
      <c r="F24" s="53">
        <v>3</v>
      </c>
      <c r="G24" s="47"/>
      <c r="H24" s="47"/>
      <c r="I24" s="47">
        <v>4</v>
      </c>
      <c r="J24" s="48"/>
      <c r="K24" s="48"/>
      <c r="L24" s="54"/>
      <c r="M24" s="48">
        <v>17</v>
      </c>
      <c r="N24" s="48"/>
      <c r="O24" s="48"/>
      <c r="P24" s="47">
        <v>9</v>
      </c>
      <c r="Q24" s="47"/>
      <c r="R24" s="47">
        <v>5</v>
      </c>
      <c r="S24" s="47"/>
      <c r="T24" s="47"/>
      <c r="U24" s="47"/>
      <c r="V24" s="48"/>
      <c r="W24" s="48"/>
      <c r="X24" s="48">
        <v>1</v>
      </c>
      <c r="Y24" s="48">
        <v>1</v>
      </c>
      <c r="Z24" s="48"/>
      <c r="AA24" s="48"/>
      <c r="AB24" s="47"/>
      <c r="AC24" s="47"/>
      <c r="AD24" s="47"/>
      <c r="AE24" s="47"/>
      <c r="AF24" s="47"/>
      <c r="AG24" s="47"/>
      <c r="AH24" s="48"/>
      <c r="AI24" s="48"/>
      <c r="AJ24" s="48"/>
      <c r="AK24" s="48"/>
      <c r="AL24" s="48"/>
      <c r="AM24" s="48"/>
      <c r="AN24" s="50">
        <v>2</v>
      </c>
      <c r="AO24" s="51" t="s">
        <v>200</v>
      </c>
      <c r="AP24" s="300">
        <f t="shared" ref="AP24:AP38" si="2">D24+E24+F24+G24+H24+I24+J24+K24+L24+M24+N24+O24+P24+Q24+R24+S24+T24+U24+V24+W24+X24+Y24+Z24+AA24+AB24+AC24+AD24+AE24+AF24+AG24+AH24+AI24+AJ24+AK24+AL24+AM24+AN24</f>
        <v>53</v>
      </c>
    </row>
    <row r="25" spans="1:42" ht="21" x14ac:dyDescent="0.35">
      <c r="A25" s="36">
        <v>3</v>
      </c>
      <c r="B25" s="313" t="s">
        <v>361</v>
      </c>
      <c r="C25" s="62" t="s">
        <v>72</v>
      </c>
      <c r="D25" s="46">
        <v>11</v>
      </c>
      <c r="E25" s="47"/>
      <c r="F25" s="53"/>
      <c r="G25" s="47"/>
      <c r="H25" s="47"/>
      <c r="I25" s="47"/>
      <c r="J25" s="48"/>
      <c r="K25" s="48"/>
      <c r="L25" s="54"/>
      <c r="M25" s="48">
        <v>82</v>
      </c>
      <c r="N25" s="48"/>
      <c r="O25" s="48"/>
      <c r="P25" s="47">
        <v>85</v>
      </c>
      <c r="Q25" s="47"/>
      <c r="R25" s="47">
        <v>25</v>
      </c>
      <c r="S25" s="47"/>
      <c r="T25" s="47"/>
      <c r="U25" s="47"/>
      <c r="V25" s="48"/>
      <c r="W25" s="48"/>
      <c r="X25" s="48"/>
      <c r="Y25" s="48"/>
      <c r="Z25" s="48"/>
      <c r="AA25" s="48"/>
      <c r="AB25" s="47"/>
      <c r="AC25" s="47"/>
      <c r="AD25" s="47"/>
      <c r="AE25" s="47"/>
      <c r="AF25" s="47"/>
      <c r="AG25" s="47"/>
      <c r="AH25" s="48">
        <v>1</v>
      </c>
      <c r="AI25" s="48"/>
      <c r="AJ25" s="48">
        <v>1</v>
      </c>
      <c r="AK25" s="48"/>
      <c r="AL25" s="48"/>
      <c r="AM25" s="48"/>
      <c r="AN25" s="50">
        <v>1</v>
      </c>
      <c r="AO25" s="51" t="s">
        <v>73</v>
      </c>
      <c r="AP25" s="300">
        <f t="shared" si="2"/>
        <v>206</v>
      </c>
    </row>
    <row r="26" spans="1:42" ht="21" x14ac:dyDescent="0.35">
      <c r="A26" s="36">
        <v>4</v>
      </c>
      <c r="B26" s="313" t="s">
        <v>361</v>
      </c>
      <c r="C26" s="62" t="s">
        <v>74</v>
      </c>
      <c r="D26" s="46">
        <v>1</v>
      </c>
      <c r="E26" s="47"/>
      <c r="F26" s="47"/>
      <c r="G26" s="47"/>
      <c r="H26" s="47"/>
      <c r="I26" s="47"/>
      <c r="J26" s="48"/>
      <c r="K26" s="48"/>
      <c r="L26" s="48"/>
      <c r="M26" s="48">
        <v>11</v>
      </c>
      <c r="N26" s="48"/>
      <c r="O26" s="48"/>
      <c r="P26" s="47">
        <v>5</v>
      </c>
      <c r="Q26" s="47"/>
      <c r="R26" s="47"/>
      <c r="S26" s="47"/>
      <c r="T26" s="47"/>
      <c r="U26" s="47"/>
      <c r="V26" s="48"/>
      <c r="W26" s="48"/>
      <c r="X26" s="48">
        <v>1</v>
      </c>
      <c r="Y26" s="48"/>
      <c r="Z26" s="48"/>
      <c r="AA26" s="48"/>
      <c r="AB26" s="47"/>
      <c r="AC26" s="47"/>
      <c r="AD26" s="47"/>
      <c r="AE26" s="47"/>
      <c r="AF26" s="47"/>
      <c r="AG26" s="47"/>
      <c r="AH26" s="48"/>
      <c r="AI26" s="48"/>
      <c r="AJ26" s="48"/>
      <c r="AK26" s="48"/>
      <c r="AL26" s="48"/>
      <c r="AM26" s="48"/>
      <c r="AN26" s="50"/>
      <c r="AO26" s="51">
        <f t="shared" ref="AO26:AO32" si="3">SUM(D26:AN26)</f>
        <v>18</v>
      </c>
      <c r="AP26" s="300">
        <f t="shared" si="2"/>
        <v>18</v>
      </c>
    </row>
    <row r="27" spans="1:42" ht="21" x14ac:dyDescent="0.35">
      <c r="A27" s="36">
        <v>5</v>
      </c>
      <c r="B27" s="313" t="s">
        <v>361</v>
      </c>
      <c r="C27" s="62" t="s">
        <v>75</v>
      </c>
      <c r="D27" s="46">
        <v>8</v>
      </c>
      <c r="E27" s="47">
        <v>2</v>
      </c>
      <c r="F27" s="47">
        <v>2</v>
      </c>
      <c r="G27" s="47"/>
      <c r="H27" s="47"/>
      <c r="I27" s="47">
        <v>3</v>
      </c>
      <c r="J27" s="48"/>
      <c r="K27" s="48">
        <v>2</v>
      </c>
      <c r="L27" s="48">
        <v>3</v>
      </c>
      <c r="M27" s="48">
        <v>36</v>
      </c>
      <c r="N27" s="48">
        <v>2</v>
      </c>
      <c r="O27" s="48"/>
      <c r="P27" s="47">
        <v>31</v>
      </c>
      <c r="Q27" s="47"/>
      <c r="R27" s="47">
        <v>6</v>
      </c>
      <c r="S27" s="47"/>
      <c r="T27" s="47"/>
      <c r="U27" s="47"/>
      <c r="V27" s="48"/>
      <c r="W27" s="48"/>
      <c r="X27" s="48"/>
      <c r="Y27" s="48"/>
      <c r="Z27" s="48"/>
      <c r="AA27" s="48"/>
      <c r="AB27" s="47"/>
      <c r="AC27" s="47"/>
      <c r="AD27" s="47"/>
      <c r="AE27" s="47">
        <v>2</v>
      </c>
      <c r="AF27" s="47"/>
      <c r="AG27" s="47">
        <v>1</v>
      </c>
      <c r="AH27" s="48"/>
      <c r="AI27" s="48"/>
      <c r="AJ27" s="48"/>
      <c r="AK27" s="48"/>
      <c r="AL27" s="48"/>
      <c r="AM27" s="48"/>
      <c r="AN27" s="50"/>
      <c r="AO27" s="51">
        <f t="shared" si="3"/>
        <v>98</v>
      </c>
      <c r="AP27" s="300">
        <f t="shared" si="2"/>
        <v>98</v>
      </c>
    </row>
    <row r="28" spans="1:42" ht="21" x14ac:dyDescent="0.35">
      <c r="A28" s="36">
        <v>6</v>
      </c>
      <c r="B28" s="313" t="s">
        <v>361</v>
      </c>
      <c r="C28" s="62" t="s">
        <v>76</v>
      </c>
      <c r="D28" s="46">
        <v>1</v>
      </c>
      <c r="E28" s="47"/>
      <c r="F28" s="47">
        <v>1</v>
      </c>
      <c r="G28" s="47"/>
      <c r="H28" s="47">
        <v>1</v>
      </c>
      <c r="I28" s="47">
        <v>1</v>
      </c>
      <c r="J28" s="48"/>
      <c r="K28" s="48"/>
      <c r="L28" s="48"/>
      <c r="M28" s="48">
        <v>21</v>
      </c>
      <c r="N28" s="48"/>
      <c r="O28" s="48"/>
      <c r="P28" s="47">
        <v>6</v>
      </c>
      <c r="Q28" s="47"/>
      <c r="R28" s="47">
        <v>3</v>
      </c>
      <c r="S28" s="47"/>
      <c r="T28" s="47"/>
      <c r="U28" s="47"/>
      <c r="V28" s="48"/>
      <c r="W28" s="48"/>
      <c r="X28" s="48"/>
      <c r="Y28" s="48"/>
      <c r="Z28" s="48"/>
      <c r="AA28" s="48"/>
      <c r="AB28" s="47"/>
      <c r="AC28" s="47"/>
      <c r="AD28" s="47"/>
      <c r="AE28" s="47"/>
      <c r="AF28" s="47"/>
      <c r="AG28" s="47"/>
      <c r="AH28" s="48">
        <v>1</v>
      </c>
      <c r="AI28" s="48"/>
      <c r="AJ28" s="48"/>
      <c r="AK28" s="48"/>
      <c r="AL28" s="48"/>
      <c r="AM28" s="48"/>
      <c r="AN28" s="50"/>
      <c r="AO28" s="51">
        <f t="shared" si="3"/>
        <v>35</v>
      </c>
      <c r="AP28" s="300">
        <f t="shared" si="2"/>
        <v>35</v>
      </c>
    </row>
    <row r="29" spans="1:42" ht="21" x14ac:dyDescent="0.35">
      <c r="A29" s="36">
        <v>7</v>
      </c>
      <c r="B29" s="313" t="s">
        <v>361</v>
      </c>
      <c r="C29" s="62" t="s">
        <v>77</v>
      </c>
      <c r="D29" s="52">
        <v>5</v>
      </c>
      <c r="E29" s="57"/>
      <c r="F29" s="57"/>
      <c r="G29" s="57"/>
      <c r="H29" s="57"/>
      <c r="I29" s="57"/>
      <c r="J29" s="55"/>
      <c r="K29" s="55"/>
      <c r="L29" s="55"/>
      <c r="M29" s="55">
        <v>27</v>
      </c>
      <c r="N29" s="55"/>
      <c r="O29" s="55"/>
      <c r="P29" s="57">
        <v>15</v>
      </c>
      <c r="Q29" s="57"/>
      <c r="R29" s="57">
        <v>9</v>
      </c>
      <c r="S29" s="57"/>
      <c r="T29" s="57">
        <v>1</v>
      </c>
      <c r="U29" s="57"/>
      <c r="V29" s="55"/>
      <c r="W29" s="55"/>
      <c r="X29" s="55"/>
      <c r="Y29" s="55"/>
      <c r="Z29" s="55"/>
      <c r="AA29" s="55"/>
      <c r="AB29" s="57"/>
      <c r="AC29" s="57"/>
      <c r="AD29" s="57"/>
      <c r="AE29" s="57"/>
      <c r="AF29" s="57"/>
      <c r="AG29" s="57"/>
      <c r="AH29" s="55"/>
      <c r="AI29" s="55"/>
      <c r="AJ29" s="55"/>
      <c r="AK29" s="55"/>
      <c r="AL29" s="55"/>
      <c r="AM29" s="55"/>
      <c r="AN29" s="60"/>
      <c r="AO29" s="51">
        <f t="shared" si="3"/>
        <v>57</v>
      </c>
      <c r="AP29" s="300">
        <f t="shared" si="2"/>
        <v>57</v>
      </c>
    </row>
    <row r="30" spans="1:42" ht="21" x14ac:dyDescent="0.35">
      <c r="A30" s="36">
        <v>8</v>
      </c>
      <c r="B30" s="313" t="s">
        <v>361</v>
      </c>
      <c r="C30" s="62" t="s">
        <v>78</v>
      </c>
      <c r="D30" s="52">
        <v>1</v>
      </c>
      <c r="E30" s="57"/>
      <c r="F30" s="58"/>
      <c r="G30" s="57"/>
      <c r="H30" s="57"/>
      <c r="I30" s="57">
        <v>1</v>
      </c>
      <c r="J30" s="55"/>
      <c r="K30" s="55"/>
      <c r="L30" s="59"/>
      <c r="M30" s="55">
        <v>2</v>
      </c>
      <c r="N30" s="55"/>
      <c r="O30" s="55"/>
      <c r="P30" s="57">
        <v>1</v>
      </c>
      <c r="Q30" s="57"/>
      <c r="R30" s="57"/>
      <c r="S30" s="57"/>
      <c r="T30" s="57"/>
      <c r="U30" s="57"/>
      <c r="V30" s="55"/>
      <c r="W30" s="55"/>
      <c r="X30" s="55"/>
      <c r="Y30" s="55"/>
      <c r="Z30" s="55"/>
      <c r="AA30" s="55"/>
      <c r="AB30" s="57"/>
      <c r="AC30" s="57"/>
      <c r="AD30" s="57"/>
      <c r="AE30" s="57"/>
      <c r="AF30" s="57"/>
      <c r="AG30" s="57"/>
      <c r="AH30" s="55"/>
      <c r="AI30" s="55"/>
      <c r="AJ30" s="55"/>
      <c r="AK30" s="55"/>
      <c r="AL30" s="55"/>
      <c r="AM30" s="55"/>
      <c r="AN30" s="60"/>
      <c r="AO30" s="51">
        <f t="shared" si="3"/>
        <v>5</v>
      </c>
      <c r="AP30" s="300">
        <f t="shared" si="2"/>
        <v>5</v>
      </c>
    </row>
    <row r="31" spans="1:42" ht="21" x14ac:dyDescent="0.35">
      <c r="A31" s="36">
        <v>9</v>
      </c>
      <c r="B31" s="313" t="s">
        <v>361</v>
      </c>
      <c r="C31" s="62" t="s">
        <v>79</v>
      </c>
      <c r="D31" s="46">
        <v>4</v>
      </c>
      <c r="E31" s="47"/>
      <c r="F31" s="47">
        <v>2</v>
      </c>
      <c r="G31" s="47"/>
      <c r="H31" s="47"/>
      <c r="I31" s="47">
        <v>4</v>
      </c>
      <c r="J31" s="48"/>
      <c r="K31" s="48"/>
      <c r="L31" s="48"/>
      <c r="M31" s="48">
        <v>19</v>
      </c>
      <c r="N31" s="48"/>
      <c r="O31" s="48"/>
      <c r="P31" s="47">
        <v>7</v>
      </c>
      <c r="Q31" s="47"/>
      <c r="R31" s="47">
        <v>2</v>
      </c>
      <c r="S31" s="47"/>
      <c r="T31" s="47"/>
      <c r="U31" s="47"/>
      <c r="V31" s="48"/>
      <c r="W31" s="48"/>
      <c r="X31" s="48"/>
      <c r="Y31" s="48"/>
      <c r="Z31" s="48"/>
      <c r="AA31" s="48"/>
      <c r="AB31" s="47"/>
      <c r="AC31" s="47"/>
      <c r="AD31" s="47"/>
      <c r="AE31" s="47"/>
      <c r="AF31" s="47"/>
      <c r="AG31" s="47"/>
      <c r="AH31" s="48"/>
      <c r="AI31" s="48"/>
      <c r="AJ31" s="48"/>
      <c r="AK31" s="48"/>
      <c r="AL31" s="48"/>
      <c r="AM31" s="48"/>
      <c r="AN31" s="50"/>
      <c r="AO31" s="51">
        <f t="shared" si="3"/>
        <v>38</v>
      </c>
      <c r="AP31" s="300">
        <f t="shared" si="2"/>
        <v>38</v>
      </c>
    </row>
    <row r="32" spans="1:42" ht="21" x14ac:dyDescent="0.35">
      <c r="A32" s="36">
        <v>10</v>
      </c>
      <c r="B32" s="313" t="s">
        <v>361</v>
      </c>
      <c r="C32" s="62" t="s">
        <v>80</v>
      </c>
      <c r="D32" s="52"/>
      <c r="E32" s="57"/>
      <c r="F32" s="58"/>
      <c r="G32" s="57"/>
      <c r="H32" s="57"/>
      <c r="I32" s="57"/>
      <c r="J32" s="55"/>
      <c r="K32" s="55"/>
      <c r="L32" s="59"/>
      <c r="M32" s="55"/>
      <c r="N32" s="55"/>
      <c r="O32" s="55"/>
      <c r="P32" s="57">
        <v>7</v>
      </c>
      <c r="Q32" s="57"/>
      <c r="R32" s="57"/>
      <c r="S32" s="57"/>
      <c r="T32" s="57"/>
      <c r="U32" s="57"/>
      <c r="V32" s="55"/>
      <c r="W32" s="55"/>
      <c r="X32" s="55"/>
      <c r="Y32" s="55"/>
      <c r="Z32" s="55"/>
      <c r="AA32" s="55"/>
      <c r="AB32" s="57"/>
      <c r="AC32" s="57"/>
      <c r="AD32" s="57"/>
      <c r="AE32" s="57"/>
      <c r="AF32" s="57"/>
      <c r="AG32" s="57"/>
      <c r="AH32" s="55"/>
      <c r="AI32" s="55"/>
      <c r="AJ32" s="55"/>
      <c r="AK32" s="55"/>
      <c r="AL32" s="55"/>
      <c r="AM32" s="55"/>
      <c r="AN32" s="60"/>
      <c r="AO32" s="51">
        <f t="shared" si="3"/>
        <v>7</v>
      </c>
      <c r="AP32" s="300">
        <f t="shared" si="2"/>
        <v>7</v>
      </c>
    </row>
    <row r="33" spans="1:42" ht="21" x14ac:dyDescent="0.35">
      <c r="A33" s="36">
        <v>11</v>
      </c>
      <c r="B33" s="313" t="s">
        <v>361</v>
      </c>
      <c r="C33" s="62" t="s">
        <v>81</v>
      </c>
      <c r="D33" s="46"/>
      <c r="E33" s="47"/>
      <c r="F33" s="47"/>
      <c r="G33" s="47"/>
      <c r="H33" s="47"/>
      <c r="I33" s="47">
        <v>1</v>
      </c>
      <c r="J33" s="48"/>
      <c r="K33" s="48"/>
      <c r="L33" s="48">
        <v>1</v>
      </c>
      <c r="M33" s="48">
        <v>23</v>
      </c>
      <c r="N33" s="48">
        <v>1</v>
      </c>
      <c r="O33" s="48"/>
      <c r="P33" s="47">
        <v>17</v>
      </c>
      <c r="Q33" s="47"/>
      <c r="R33" s="47">
        <v>7</v>
      </c>
      <c r="S33" s="47"/>
      <c r="T33" s="47">
        <v>1</v>
      </c>
      <c r="U33" s="47"/>
      <c r="V33" s="48"/>
      <c r="W33" s="48"/>
      <c r="X33" s="48">
        <v>1</v>
      </c>
      <c r="Y33" s="48"/>
      <c r="Z33" s="48"/>
      <c r="AA33" s="48"/>
      <c r="AB33" s="47"/>
      <c r="AC33" s="47">
        <v>1</v>
      </c>
      <c r="AD33" s="47"/>
      <c r="AE33" s="47"/>
      <c r="AF33" s="47"/>
      <c r="AG33" s="47"/>
      <c r="AH33" s="48"/>
      <c r="AI33" s="48"/>
      <c r="AJ33" s="48"/>
      <c r="AK33" s="48"/>
      <c r="AL33" s="48"/>
      <c r="AM33" s="48"/>
      <c r="AN33" s="50">
        <v>1</v>
      </c>
      <c r="AO33" s="51" t="s">
        <v>73</v>
      </c>
      <c r="AP33" s="300">
        <f t="shared" si="2"/>
        <v>54</v>
      </c>
    </row>
    <row r="34" spans="1:42" ht="21" x14ac:dyDescent="0.35">
      <c r="A34" s="36">
        <v>12</v>
      </c>
      <c r="B34" s="313" t="s">
        <v>361</v>
      </c>
      <c r="C34" s="62" t="s">
        <v>82</v>
      </c>
      <c r="D34" s="46"/>
      <c r="E34" s="47"/>
      <c r="F34" s="47"/>
      <c r="G34" s="47"/>
      <c r="H34" s="47"/>
      <c r="I34" s="47"/>
      <c r="J34" s="48"/>
      <c r="K34" s="48"/>
      <c r="L34" s="48"/>
      <c r="M34" s="48">
        <v>38</v>
      </c>
      <c r="N34" s="48"/>
      <c r="O34" s="48"/>
      <c r="P34" s="47">
        <v>10</v>
      </c>
      <c r="Q34" s="47"/>
      <c r="R34" s="47">
        <v>7</v>
      </c>
      <c r="S34" s="47"/>
      <c r="T34" s="47">
        <v>1</v>
      </c>
      <c r="U34" s="47"/>
      <c r="V34" s="48"/>
      <c r="W34" s="48"/>
      <c r="X34" s="48"/>
      <c r="Y34" s="48"/>
      <c r="Z34" s="48"/>
      <c r="AA34" s="48"/>
      <c r="AB34" s="47"/>
      <c r="AC34" s="47"/>
      <c r="AD34" s="47"/>
      <c r="AE34" s="47"/>
      <c r="AF34" s="47"/>
      <c r="AG34" s="47"/>
      <c r="AH34" s="48"/>
      <c r="AI34" s="48"/>
      <c r="AJ34" s="48"/>
      <c r="AK34" s="48"/>
      <c r="AL34" s="48"/>
      <c r="AM34" s="48"/>
      <c r="AN34" s="50"/>
      <c r="AO34" s="51">
        <f>SUM(D34:AN34)</f>
        <v>56</v>
      </c>
      <c r="AP34" s="300">
        <f t="shared" si="2"/>
        <v>56</v>
      </c>
    </row>
    <row r="35" spans="1:42" ht="21" x14ac:dyDescent="0.35">
      <c r="A35" s="36">
        <v>13</v>
      </c>
      <c r="B35" s="313" t="s">
        <v>361</v>
      </c>
      <c r="C35" s="62" t="s">
        <v>83</v>
      </c>
      <c r="D35" s="46">
        <v>1</v>
      </c>
      <c r="E35" s="47"/>
      <c r="F35" s="47"/>
      <c r="G35" s="47"/>
      <c r="H35" s="47"/>
      <c r="I35" s="47"/>
      <c r="J35" s="48"/>
      <c r="K35" s="48"/>
      <c r="L35" s="48"/>
      <c r="M35" s="48">
        <v>41</v>
      </c>
      <c r="N35" s="48"/>
      <c r="O35" s="48"/>
      <c r="P35" s="47">
        <v>7</v>
      </c>
      <c r="Q35" s="47"/>
      <c r="R35" s="47"/>
      <c r="S35" s="47"/>
      <c r="T35" s="47"/>
      <c r="U35" s="47"/>
      <c r="V35" s="48"/>
      <c r="W35" s="48"/>
      <c r="X35" s="48"/>
      <c r="Y35" s="48"/>
      <c r="Z35" s="48"/>
      <c r="AA35" s="48"/>
      <c r="AB35" s="47"/>
      <c r="AC35" s="47"/>
      <c r="AD35" s="47"/>
      <c r="AE35" s="47"/>
      <c r="AF35" s="47"/>
      <c r="AG35" s="47"/>
      <c r="AH35" s="48"/>
      <c r="AI35" s="48"/>
      <c r="AJ35" s="48"/>
      <c r="AK35" s="48"/>
      <c r="AL35" s="48"/>
      <c r="AM35" s="48"/>
      <c r="AN35" s="50"/>
      <c r="AO35" s="51">
        <f>SUM(D35:AN35)</f>
        <v>49</v>
      </c>
      <c r="AP35" s="300">
        <f t="shared" si="2"/>
        <v>49</v>
      </c>
    </row>
    <row r="36" spans="1:42" ht="21" x14ac:dyDescent="0.35">
      <c r="A36" s="36">
        <v>14</v>
      </c>
      <c r="B36" s="313" t="s">
        <v>361</v>
      </c>
      <c r="C36" s="62" t="s">
        <v>84</v>
      </c>
      <c r="D36" s="46"/>
      <c r="E36" s="47"/>
      <c r="F36" s="47"/>
      <c r="G36" s="47"/>
      <c r="H36" s="47"/>
      <c r="I36" s="47">
        <v>4</v>
      </c>
      <c r="J36" s="48"/>
      <c r="K36" s="48"/>
      <c r="L36" s="48"/>
      <c r="M36" s="48">
        <v>4</v>
      </c>
      <c r="N36" s="48"/>
      <c r="O36" s="48"/>
      <c r="P36" s="47">
        <v>6</v>
      </c>
      <c r="Q36" s="47"/>
      <c r="R36" s="47"/>
      <c r="S36" s="47"/>
      <c r="T36" s="47"/>
      <c r="U36" s="47"/>
      <c r="V36" s="48"/>
      <c r="W36" s="48"/>
      <c r="X36" s="48"/>
      <c r="Y36" s="48"/>
      <c r="Z36" s="48"/>
      <c r="AA36" s="48"/>
      <c r="AB36" s="47"/>
      <c r="AC36" s="47"/>
      <c r="AD36" s="47"/>
      <c r="AE36" s="47"/>
      <c r="AF36" s="47"/>
      <c r="AG36" s="47"/>
      <c r="AH36" s="48"/>
      <c r="AI36" s="48"/>
      <c r="AJ36" s="48"/>
      <c r="AK36" s="48"/>
      <c r="AL36" s="48"/>
      <c r="AM36" s="48"/>
      <c r="AN36" s="50"/>
      <c r="AO36" s="51">
        <f>SUM(D36:AN36)</f>
        <v>14</v>
      </c>
      <c r="AP36" s="300">
        <f t="shared" si="2"/>
        <v>14</v>
      </c>
    </row>
    <row r="37" spans="1:42" ht="21" x14ac:dyDescent="0.35">
      <c r="A37" s="36">
        <v>15</v>
      </c>
      <c r="B37" s="313" t="s">
        <v>361</v>
      </c>
      <c r="C37" s="62" t="s">
        <v>85</v>
      </c>
      <c r="D37" s="63"/>
      <c r="E37" s="64"/>
      <c r="F37" s="64"/>
      <c r="G37" s="64"/>
      <c r="H37" s="64"/>
      <c r="I37" s="64"/>
      <c r="J37" s="66"/>
      <c r="K37" s="66"/>
      <c r="L37" s="66"/>
      <c r="M37" s="66">
        <v>4</v>
      </c>
      <c r="N37" s="66"/>
      <c r="O37" s="66"/>
      <c r="P37" s="64"/>
      <c r="Q37" s="64"/>
      <c r="R37" s="64">
        <v>4</v>
      </c>
      <c r="S37" s="64"/>
      <c r="T37" s="64"/>
      <c r="U37" s="64"/>
      <c r="V37" s="66"/>
      <c r="W37" s="66"/>
      <c r="X37" s="66"/>
      <c r="Y37" s="66"/>
      <c r="Z37" s="66"/>
      <c r="AA37" s="66"/>
      <c r="AB37" s="64"/>
      <c r="AC37" s="64"/>
      <c r="AD37" s="64"/>
      <c r="AE37" s="64"/>
      <c r="AF37" s="64"/>
      <c r="AG37" s="64"/>
      <c r="AH37" s="66"/>
      <c r="AI37" s="66"/>
      <c r="AJ37" s="66"/>
      <c r="AK37" s="66"/>
      <c r="AL37" s="66"/>
      <c r="AM37" s="66"/>
      <c r="AN37" s="68"/>
      <c r="AO37" s="51">
        <f>SUM(D37:AN37)</f>
        <v>8</v>
      </c>
      <c r="AP37" s="300">
        <f t="shared" si="2"/>
        <v>8</v>
      </c>
    </row>
    <row r="38" spans="1:42" ht="21" x14ac:dyDescent="0.35">
      <c r="A38" s="36">
        <v>16</v>
      </c>
      <c r="B38" s="313" t="s">
        <v>361</v>
      </c>
      <c r="C38" s="62" t="s">
        <v>86</v>
      </c>
      <c r="D38" s="46"/>
      <c r="E38" s="47"/>
      <c r="F38" s="47"/>
      <c r="G38" s="47"/>
      <c r="H38" s="47"/>
      <c r="I38" s="47"/>
      <c r="J38" s="48"/>
      <c r="K38" s="48"/>
      <c r="L38" s="48"/>
      <c r="M38" s="48">
        <v>1</v>
      </c>
      <c r="N38" s="48"/>
      <c r="O38" s="48"/>
      <c r="P38" s="47"/>
      <c r="Q38" s="47"/>
      <c r="R38" s="47"/>
      <c r="S38" s="47"/>
      <c r="T38" s="47"/>
      <c r="U38" s="47"/>
      <c r="V38" s="48"/>
      <c r="W38" s="48"/>
      <c r="X38" s="48"/>
      <c r="Y38" s="48"/>
      <c r="Z38" s="48"/>
      <c r="AA38" s="48"/>
      <c r="AB38" s="47"/>
      <c r="AC38" s="47"/>
      <c r="AD38" s="47"/>
      <c r="AE38" s="47"/>
      <c r="AF38" s="47"/>
      <c r="AG38" s="47"/>
      <c r="AH38" s="48"/>
      <c r="AI38" s="48"/>
      <c r="AJ38" s="48"/>
      <c r="AK38" s="48"/>
      <c r="AL38" s="48"/>
      <c r="AM38" s="48"/>
      <c r="AN38" s="50">
        <v>0</v>
      </c>
      <c r="AO38" s="51">
        <f>SUM(D38:AN38)</f>
        <v>1</v>
      </c>
      <c r="AP38" s="300">
        <f t="shared" si="2"/>
        <v>1</v>
      </c>
    </row>
    <row r="39" spans="1:42" ht="21" x14ac:dyDescent="0.35">
      <c r="A39" s="36">
        <v>1</v>
      </c>
      <c r="B39" s="314" t="s">
        <v>378</v>
      </c>
      <c r="C39" s="70" t="s">
        <v>87</v>
      </c>
      <c r="D39" s="47">
        <v>21</v>
      </c>
      <c r="E39" s="47"/>
      <c r="F39" s="53"/>
      <c r="G39" s="47"/>
      <c r="H39" s="47"/>
      <c r="I39" s="47"/>
      <c r="J39" s="48"/>
      <c r="K39" s="48"/>
      <c r="L39" s="54"/>
      <c r="M39" s="48">
        <v>19</v>
      </c>
      <c r="N39" s="48"/>
      <c r="O39" s="48"/>
      <c r="P39" s="47">
        <v>12</v>
      </c>
      <c r="Q39" s="47"/>
      <c r="R39" s="53">
        <v>28</v>
      </c>
      <c r="S39" s="47"/>
      <c r="T39" s="47"/>
      <c r="U39" s="47"/>
      <c r="V39" s="48"/>
      <c r="W39" s="48"/>
      <c r="X39" s="54"/>
      <c r="Y39" s="48"/>
      <c r="Z39" s="48"/>
      <c r="AA39" s="48"/>
      <c r="AB39" s="47"/>
      <c r="AC39" s="47"/>
      <c r="AD39" s="53"/>
      <c r="AE39" s="47"/>
      <c r="AF39" s="47"/>
      <c r="AG39" s="47"/>
      <c r="AH39" s="48">
        <v>1</v>
      </c>
      <c r="AI39" s="48"/>
      <c r="AJ39" s="54"/>
      <c r="AK39" s="48"/>
      <c r="AL39" s="48"/>
      <c r="AM39" s="48"/>
      <c r="AN39" s="50"/>
      <c r="AO39" s="51">
        <f t="shared" ref="AO39:AO53" si="4">SUM(D39:AN39)</f>
        <v>81</v>
      </c>
      <c r="AP39" s="300">
        <f>D39+E39+F39+G39+H39+I39+J39+K39+L39+M39+N39+O39+P39+Q39+R39+S39+T39+U39+V39+W39+X39+Y39+Z39+AA39+AB39+AC39+AD39+AE39+AF39+AG39+AH39+AI39+AJ39+AK39+AL39+AM39</f>
        <v>81</v>
      </c>
    </row>
    <row r="40" spans="1:42" ht="21" x14ac:dyDescent="0.35">
      <c r="A40" s="36">
        <v>2</v>
      </c>
      <c r="B40" s="314" t="s">
        <v>378</v>
      </c>
      <c r="C40" s="70" t="s">
        <v>88</v>
      </c>
      <c r="D40" s="47">
        <v>10</v>
      </c>
      <c r="E40" s="47"/>
      <c r="F40" s="47"/>
      <c r="G40" s="47"/>
      <c r="H40" s="47"/>
      <c r="I40" s="47">
        <v>1</v>
      </c>
      <c r="J40" s="48"/>
      <c r="K40" s="48">
        <v>1</v>
      </c>
      <c r="L40" s="48"/>
      <c r="M40" s="48">
        <v>21</v>
      </c>
      <c r="N40" s="48">
        <v>1</v>
      </c>
      <c r="O40" s="48"/>
      <c r="P40" s="47">
        <v>17</v>
      </c>
      <c r="Q40" s="47"/>
      <c r="R40" s="47">
        <v>22</v>
      </c>
      <c r="S40" s="47"/>
      <c r="T40" s="47">
        <v>1</v>
      </c>
      <c r="U40" s="47"/>
      <c r="V40" s="48"/>
      <c r="W40" s="48"/>
      <c r="X40" s="48"/>
      <c r="Y40" s="48"/>
      <c r="Z40" s="48"/>
      <c r="AA40" s="48"/>
      <c r="AB40" s="47"/>
      <c r="AC40" s="47"/>
      <c r="AD40" s="47"/>
      <c r="AE40" s="47"/>
      <c r="AF40" s="47"/>
      <c r="AG40" s="47"/>
      <c r="AH40" s="48"/>
      <c r="AI40" s="48"/>
      <c r="AJ40" s="48"/>
      <c r="AK40" s="48"/>
      <c r="AL40" s="48"/>
      <c r="AM40" s="48"/>
      <c r="AN40" s="50"/>
      <c r="AO40" s="51">
        <f t="shared" si="4"/>
        <v>74</v>
      </c>
      <c r="AP40" s="300">
        <f t="shared" ref="AP40:AP52" si="5">D40+E40+F40+G40+H40+I40+J40+K40+L40+M40+N40+O40+P40+Q40+R40+S40+T40+U40+V40+W40+X40+Y40+Z40+AA40+AB40+AC40+AD40+AE40+AF40+AG40+AH40+AI40+AJ40+AK40+AL40+AM40</f>
        <v>74</v>
      </c>
    </row>
    <row r="41" spans="1:42" ht="21" x14ac:dyDescent="0.35">
      <c r="A41" s="36">
        <v>3</v>
      </c>
      <c r="B41" s="314" t="s">
        <v>378</v>
      </c>
      <c r="C41" s="70" t="s">
        <v>89</v>
      </c>
      <c r="D41" s="57">
        <v>31</v>
      </c>
      <c r="E41" s="57"/>
      <c r="F41" s="58"/>
      <c r="G41" s="57"/>
      <c r="H41" s="57"/>
      <c r="I41" s="57"/>
      <c r="J41" s="55"/>
      <c r="K41" s="55"/>
      <c r="L41" s="59"/>
      <c r="M41" s="55">
        <v>21</v>
      </c>
      <c r="N41" s="55"/>
      <c r="O41" s="55"/>
      <c r="P41" s="57">
        <v>26</v>
      </c>
      <c r="Q41" s="57"/>
      <c r="R41" s="57">
        <v>40</v>
      </c>
      <c r="S41" s="57"/>
      <c r="T41" s="57"/>
      <c r="U41" s="57"/>
      <c r="V41" s="55"/>
      <c r="W41" s="55"/>
      <c r="X41" s="55">
        <v>6</v>
      </c>
      <c r="Y41" s="55"/>
      <c r="Z41" s="55"/>
      <c r="AA41" s="55"/>
      <c r="AB41" s="57"/>
      <c r="AC41" s="57"/>
      <c r="AD41" s="57">
        <v>2</v>
      </c>
      <c r="AE41" s="57"/>
      <c r="AF41" s="57"/>
      <c r="AG41" s="57"/>
      <c r="AH41" s="55"/>
      <c r="AI41" s="55"/>
      <c r="AJ41" s="55"/>
      <c r="AK41" s="55"/>
      <c r="AL41" s="55"/>
      <c r="AM41" s="55"/>
      <c r="AN41" s="60"/>
      <c r="AO41" s="51">
        <f t="shared" si="4"/>
        <v>126</v>
      </c>
      <c r="AP41" s="300">
        <f t="shared" si="5"/>
        <v>126</v>
      </c>
    </row>
    <row r="42" spans="1:42" ht="21" x14ac:dyDescent="0.35">
      <c r="A42" s="36">
        <v>4</v>
      </c>
      <c r="B42" s="314" t="s">
        <v>378</v>
      </c>
      <c r="C42" s="70" t="s">
        <v>90</v>
      </c>
      <c r="D42" s="71">
        <v>10</v>
      </c>
      <c r="E42" s="71"/>
      <c r="F42" s="71"/>
      <c r="G42" s="71"/>
      <c r="H42" s="71"/>
      <c r="I42" s="71"/>
      <c r="J42" s="72"/>
      <c r="K42" s="72"/>
      <c r="L42" s="72"/>
      <c r="M42" s="72">
        <v>13</v>
      </c>
      <c r="N42" s="72"/>
      <c r="O42" s="72"/>
      <c r="P42" s="71">
        <v>2</v>
      </c>
      <c r="Q42" s="71"/>
      <c r="R42" s="71">
        <v>105</v>
      </c>
      <c r="S42" s="71"/>
      <c r="T42" s="71"/>
      <c r="U42" s="71"/>
      <c r="V42" s="72"/>
      <c r="W42" s="72"/>
      <c r="X42" s="72">
        <v>1</v>
      </c>
      <c r="Y42" s="72"/>
      <c r="Z42" s="72"/>
      <c r="AA42" s="72"/>
      <c r="AB42" s="71"/>
      <c r="AC42" s="71"/>
      <c r="AD42" s="71"/>
      <c r="AE42" s="71"/>
      <c r="AF42" s="71"/>
      <c r="AG42" s="71"/>
      <c r="AH42" s="72"/>
      <c r="AI42" s="72"/>
      <c r="AJ42" s="72"/>
      <c r="AK42" s="72"/>
      <c r="AL42" s="72"/>
      <c r="AM42" s="72"/>
      <c r="AN42" s="73"/>
      <c r="AO42" s="51">
        <f t="shared" si="4"/>
        <v>131</v>
      </c>
      <c r="AP42" s="300">
        <f t="shared" si="5"/>
        <v>131</v>
      </c>
    </row>
    <row r="43" spans="1:42" ht="21" x14ac:dyDescent="0.35">
      <c r="A43" s="36">
        <v>5</v>
      </c>
      <c r="B43" s="314" t="s">
        <v>378</v>
      </c>
      <c r="C43" s="70" t="s">
        <v>91</v>
      </c>
      <c r="D43" s="47">
        <v>6</v>
      </c>
      <c r="E43" s="47"/>
      <c r="F43" s="47">
        <v>1</v>
      </c>
      <c r="G43" s="47"/>
      <c r="H43" s="47"/>
      <c r="I43" s="47">
        <v>1</v>
      </c>
      <c r="J43" s="48"/>
      <c r="K43" s="48"/>
      <c r="L43" s="48"/>
      <c r="M43" s="48">
        <v>10</v>
      </c>
      <c r="N43" s="48"/>
      <c r="O43" s="48"/>
      <c r="P43" s="47">
        <v>6</v>
      </c>
      <c r="Q43" s="47"/>
      <c r="R43" s="47">
        <v>2</v>
      </c>
      <c r="S43" s="47"/>
      <c r="T43" s="47"/>
      <c r="U43" s="47"/>
      <c r="V43" s="48"/>
      <c r="W43" s="48"/>
      <c r="X43" s="48"/>
      <c r="Y43" s="48"/>
      <c r="Z43" s="48"/>
      <c r="AA43" s="48"/>
      <c r="AB43" s="47"/>
      <c r="AC43" s="47"/>
      <c r="AD43" s="47"/>
      <c r="AE43" s="47"/>
      <c r="AF43" s="47"/>
      <c r="AG43" s="47"/>
      <c r="AH43" s="48"/>
      <c r="AI43" s="48"/>
      <c r="AJ43" s="48"/>
      <c r="AK43" s="48"/>
      <c r="AL43" s="48"/>
      <c r="AM43" s="48"/>
      <c r="AN43" s="50"/>
      <c r="AO43" s="51">
        <f t="shared" si="4"/>
        <v>26</v>
      </c>
      <c r="AP43" s="300">
        <f t="shared" si="5"/>
        <v>26</v>
      </c>
    </row>
    <row r="44" spans="1:42" ht="21" x14ac:dyDescent="0.35">
      <c r="A44" s="36">
        <v>6</v>
      </c>
      <c r="B44" s="314" t="s">
        <v>378</v>
      </c>
      <c r="C44" s="70" t="s">
        <v>92</v>
      </c>
      <c r="D44" s="47">
        <v>8</v>
      </c>
      <c r="E44" s="47"/>
      <c r="F44" s="47"/>
      <c r="G44" s="47"/>
      <c r="H44" s="47"/>
      <c r="I44" s="47">
        <v>1</v>
      </c>
      <c r="J44" s="48"/>
      <c r="K44" s="48">
        <v>1</v>
      </c>
      <c r="L44" s="48">
        <v>1</v>
      </c>
      <c r="M44" s="48">
        <v>14</v>
      </c>
      <c r="N44" s="48"/>
      <c r="O44" s="48"/>
      <c r="P44" s="47">
        <v>5</v>
      </c>
      <c r="Q44" s="47"/>
      <c r="R44" s="47">
        <v>4</v>
      </c>
      <c r="S44" s="47"/>
      <c r="T44" s="47"/>
      <c r="U44" s="47"/>
      <c r="V44" s="48"/>
      <c r="W44" s="48"/>
      <c r="X44" s="48"/>
      <c r="Y44" s="48"/>
      <c r="Z44" s="48"/>
      <c r="AA44" s="48"/>
      <c r="AB44" s="47"/>
      <c r="AC44" s="47"/>
      <c r="AD44" s="47"/>
      <c r="AE44" s="47"/>
      <c r="AF44" s="47"/>
      <c r="AG44" s="47"/>
      <c r="AH44" s="48"/>
      <c r="AI44" s="48"/>
      <c r="AJ44" s="48"/>
      <c r="AK44" s="48"/>
      <c r="AL44" s="48"/>
      <c r="AM44" s="48"/>
      <c r="AN44" s="50"/>
      <c r="AO44" s="51">
        <f t="shared" si="4"/>
        <v>34</v>
      </c>
      <c r="AP44" s="300">
        <f t="shared" si="5"/>
        <v>34</v>
      </c>
    </row>
    <row r="45" spans="1:42" ht="21" x14ac:dyDescent="0.35">
      <c r="A45" s="36">
        <v>7</v>
      </c>
      <c r="B45" s="314" t="s">
        <v>378</v>
      </c>
      <c r="C45" s="70" t="s">
        <v>93</v>
      </c>
      <c r="D45" s="47">
        <v>1</v>
      </c>
      <c r="E45" s="47"/>
      <c r="F45" s="47"/>
      <c r="G45" s="47"/>
      <c r="H45" s="47"/>
      <c r="I45" s="47"/>
      <c r="J45" s="66"/>
      <c r="K45" s="66"/>
      <c r="L45" s="66"/>
      <c r="M45" s="66">
        <v>6</v>
      </c>
      <c r="N45" s="66"/>
      <c r="O45" s="66"/>
      <c r="P45" s="64">
        <v>2</v>
      </c>
      <c r="Q45" s="64"/>
      <c r="R45" s="64">
        <v>1</v>
      </c>
      <c r="S45" s="64"/>
      <c r="T45" s="64"/>
      <c r="U45" s="64"/>
      <c r="V45" s="66"/>
      <c r="W45" s="66"/>
      <c r="X45" s="66"/>
      <c r="Y45" s="66"/>
      <c r="Z45" s="66"/>
      <c r="AA45" s="66"/>
      <c r="AB45" s="64"/>
      <c r="AC45" s="64"/>
      <c r="AD45" s="64"/>
      <c r="AE45" s="64"/>
      <c r="AF45" s="64"/>
      <c r="AG45" s="64"/>
      <c r="AH45" s="66"/>
      <c r="AI45" s="66"/>
      <c r="AJ45" s="66"/>
      <c r="AK45" s="66"/>
      <c r="AL45" s="66"/>
      <c r="AM45" s="66"/>
      <c r="AN45" s="68"/>
      <c r="AO45" s="51">
        <f t="shared" si="4"/>
        <v>10</v>
      </c>
      <c r="AP45" s="300">
        <f t="shared" si="5"/>
        <v>10</v>
      </c>
    </row>
    <row r="46" spans="1:42" ht="21" x14ac:dyDescent="0.35">
      <c r="A46" s="36">
        <v>8</v>
      </c>
      <c r="B46" s="314" t="s">
        <v>378</v>
      </c>
      <c r="C46" s="70" t="s">
        <v>94</v>
      </c>
      <c r="D46" s="47">
        <v>6</v>
      </c>
      <c r="E46" s="47"/>
      <c r="F46" s="47"/>
      <c r="G46" s="47"/>
      <c r="H46" s="47"/>
      <c r="I46" s="47"/>
      <c r="J46" s="48"/>
      <c r="K46" s="48"/>
      <c r="L46" s="48"/>
      <c r="M46" s="48">
        <v>7</v>
      </c>
      <c r="N46" s="48"/>
      <c r="O46" s="48"/>
      <c r="P46" s="47">
        <v>5</v>
      </c>
      <c r="Q46" s="47"/>
      <c r="R46" s="47">
        <v>3</v>
      </c>
      <c r="S46" s="47"/>
      <c r="T46" s="47"/>
      <c r="U46" s="47"/>
      <c r="V46" s="48"/>
      <c r="W46" s="48"/>
      <c r="X46" s="48"/>
      <c r="Y46" s="48"/>
      <c r="Z46" s="48"/>
      <c r="AA46" s="48"/>
      <c r="AB46" s="47"/>
      <c r="AC46" s="47"/>
      <c r="AD46" s="47"/>
      <c r="AE46" s="47"/>
      <c r="AF46" s="47"/>
      <c r="AG46" s="47"/>
      <c r="AH46" s="48"/>
      <c r="AI46" s="48"/>
      <c r="AJ46" s="48"/>
      <c r="AK46" s="48"/>
      <c r="AL46" s="48"/>
      <c r="AM46" s="48"/>
      <c r="AN46" s="50"/>
      <c r="AO46" s="51">
        <f t="shared" si="4"/>
        <v>21</v>
      </c>
      <c r="AP46" s="300">
        <f t="shared" si="5"/>
        <v>21</v>
      </c>
    </row>
    <row r="47" spans="1:42" ht="21" x14ac:dyDescent="0.35">
      <c r="A47" s="36">
        <v>9</v>
      </c>
      <c r="B47" s="314" t="s">
        <v>378</v>
      </c>
      <c r="C47" s="70" t="s">
        <v>95</v>
      </c>
      <c r="D47" s="57"/>
      <c r="E47" s="57"/>
      <c r="F47" s="58"/>
      <c r="G47" s="57"/>
      <c r="H47" s="57"/>
      <c r="I47" s="57">
        <v>1</v>
      </c>
      <c r="J47" s="55"/>
      <c r="K47" s="55"/>
      <c r="L47" s="59"/>
      <c r="M47" s="55"/>
      <c r="N47" s="55"/>
      <c r="O47" s="55"/>
      <c r="P47" s="57"/>
      <c r="Q47" s="57"/>
      <c r="R47" s="57">
        <v>1</v>
      </c>
      <c r="S47" s="57"/>
      <c r="T47" s="57"/>
      <c r="U47" s="57"/>
      <c r="V47" s="55"/>
      <c r="W47" s="55"/>
      <c r="X47" s="55"/>
      <c r="Y47" s="55"/>
      <c r="Z47" s="55"/>
      <c r="AA47" s="55"/>
      <c r="AB47" s="57"/>
      <c r="AC47" s="57"/>
      <c r="AD47" s="57">
        <v>1</v>
      </c>
      <c r="AE47" s="57"/>
      <c r="AF47" s="57"/>
      <c r="AG47" s="57"/>
      <c r="AH47" s="55"/>
      <c r="AI47" s="55"/>
      <c r="AJ47" s="55"/>
      <c r="AK47" s="55"/>
      <c r="AL47" s="55"/>
      <c r="AM47" s="55"/>
      <c r="AN47" s="60"/>
      <c r="AO47" s="51">
        <f t="shared" si="4"/>
        <v>3</v>
      </c>
      <c r="AP47" s="300">
        <f t="shared" si="5"/>
        <v>3</v>
      </c>
    </row>
    <row r="48" spans="1:42" ht="21" x14ac:dyDescent="0.35">
      <c r="A48" s="36">
        <v>10</v>
      </c>
      <c r="B48" s="314" t="s">
        <v>378</v>
      </c>
      <c r="C48" s="70" t="s">
        <v>96</v>
      </c>
      <c r="D48" s="47"/>
      <c r="E48" s="47"/>
      <c r="F48" s="47"/>
      <c r="G48" s="47"/>
      <c r="H48" s="47"/>
      <c r="I48" s="47">
        <v>1</v>
      </c>
      <c r="J48" s="48"/>
      <c r="K48" s="48"/>
      <c r="L48" s="48"/>
      <c r="M48" s="48"/>
      <c r="N48" s="48"/>
      <c r="O48" s="48"/>
      <c r="P48" s="47"/>
      <c r="Q48" s="47"/>
      <c r="R48" s="47">
        <v>1</v>
      </c>
      <c r="S48" s="47"/>
      <c r="T48" s="47"/>
      <c r="U48" s="47"/>
      <c r="V48" s="48"/>
      <c r="W48" s="48"/>
      <c r="X48" s="48"/>
      <c r="Y48" s="48"/>
      <c r="Z48" s="48"/>
      <c r="AA48" s="48"/>
      <c r="AB48" s="47"/>
      <c r="AC48" s="47"/>
      <c r="AD48" s="47">
        <v>1</v>
      </c>
      <c r="AE48" s="47"/>
      <c r="AF48" s="47"/>
      <c r="AG48" s="47"/>
      <c r="AH48" s="48"/>
      <c r="AI48" s="48"/>
      <c r="AJ48" s="48"/>
      <c r="AK48" s="48"/>
      <c r="AL48" s="48"/>
      <c r="AM48" s="48"/>
      <c r="AN48" s="50">
        <v>0</v>
      </c>
      <c r="AO48" s="51">
        <f t="shared" si="4"/>
        <v>3</v>
      </c>
      <c r="AP48" s="300">
        <f t="shared" si="5"/>
        <v>3</v>
      </c>
    </row>
    <row r="49" spans="1:42" ht="21" x14ac:dyDescent="0.35">
      <c r="A49" s="36">
        <v>11</v>
      </c>
      <c r="B49" s="314" t="s">
        <v>378</v>
      </c>
      <c r="C49" s="70" t="s">
        <v>97</v>
      </c>
      <c r="D49" s="47">
        <v>14</v>
      </c>
      <c r="E49" s="47"/>
      <c r="F49" s="47"/>
      <c r="G49" s="47"/>
      <c r="H49" s="47"/>
      <c r="I49" s="47"/>
      <c r="J49" s="48"/>
      <c r="K49" s="48"/>
      <c r="L49" s="48">
        <v>2</v>
      </c>
      <c r="M49" s="48">
        <v>2</v>
      </c>
      <c r="N49" s="48">
        <v>1</v>
      </c>
      <c r="O49" s="48"/>
      <c r="P49" s="47">
        <v>7</v>
      </c>
      <c r="Q49" s="47"/>
      <c r="R49" s="47">
        <v>4</v>
      </c>
      <c r="S49" s="47"/>
      <c r="T49" s="47"/>
      <c r="U49" s="47"/>
      <c r="V49" s="48"/>
      <c r="W49" s="48"/>
      <c r="X49" s="48">
        <v>1</v>
      </c>
      <c r="Y49" s="48"/>
      <c r="Z49" s="48"/>
      <c r="AA49" s="48"/>
      <c r="AB49" s="47"/>
      <c r="AC49" s="47"/>
      <c r="AD49" s="47"/>
      <c r="AE49" s="47"/>
      <c r="AF49" s="47"/>
      <c r="AG49" s="47"/>
      <c r="AH49" s="48"/>
      <c r="AI49" s="48"/>
      <c r="AJ49" s="48"/>
      <c r="AK49" s="48"/>
      <c r="AL49" s="48"/>
      <c r="AM49" s="48"/>
      <c r="AN49" s="50"/>
      <c r="AO49" s="51">
        <f t="shared" si="4"/>
        <v>31</v>
      </c>
      <c r="AP49" s="300">
        <f t="shared" si="5"/>
        <v>31</v>
      </c>
    </row>
    <row r="50" spans="1:42" ht="21" x14ac:dyDescent="0.35">
      <c r="A50" s="36">
        <v>12</v>
      </c>
      <c r="B50" s="314" t="s">
        <v>378</v>
      </c>
      <c r="C50" s="70" t="s">
        <v>98</v>
      </c>
      <c r="D50" s="47">
        <v>1</v>
      </c>
      <c r="E50" s="47"/>
      <c r="F50" s="47">
        <v>1</v>
      </c>
      <c r="G50" s="47"/>
      <c r="H50" s="47"/>
      <c r="I50" s="47">
        <v>1</v>
      </c>
      <c r="J50" s="48"/>
      <c r="K50" s="48"/>
      <c r="L50" s="48">
        <v>1</v>
      </c>
      <c r="M50" s="48">
        <v>47</v>
      </c>
      <c r="N50" s="48"/>
      <c r="O50" s="48"/>
      <c r="P50" s="47">
        <v>2</v>
      </c>
      <c r="Q50" s="47"/>
      <c r="R50" s="47">
        <v>3</v>
      </c>
      <c r="S50" s="47"/>
      <c r="T50" s="47"/>
      <c r="U50" s="47"/>
      <c r="V50" s="48"/>
      <c r="W50" s="48"/>
      <c r="X50" s="48"/>
      <c r="Y50" s="48"/>
      <c r="Z50" s="48"/>
      <c r="AA50" s="48"/>
      <c r="AB50" s="47"/>
      <c r="AC50" s="47"/>
      <c r="AD50" s="47"/>
      <c r="AE50" s="47"/>
      <c r="AF50" s="47"/>
      <c r="AG50" s="47"/>
      <c r="AH50" s="48"/>
      <c r="AI50" s="48"/>
      <c r="AJ50" s="48"/>
      <c r="AK50" s="48"/>
      <c r="AL50" s="48"/>
      <c r="AM50" s="48"/>
      <c r="AN50" s="50"/>
      <c r="AO50" s="51">
        <f t="shared" si="4"/>
        <v>56</v>
      </c>
      <c r="AP50" s="300">
        <f t="shared" si="5"/>
        <v>56</v>
      </c>
    </row>
    <row r="51" spans="1:42" ht="21" x14ac:dyDescent="0.35">
      <c r="A51" s="36">
        <v>13</v>
      </c>
      <c r="B51" s="314" t="s">
        <v>378</v>
      </c>
      <c r="C51" s="70" t="s">
        <v>99</v>
      </c>
      <c r="D51" s="47">
        <v>7</v>
      </c>
      <c r="E51" s="47"/>
      <c r="F51" s="47"/>
      <c r="G51" s="47"/>
      <c r="H51" s="47"/>
      <c r="I51" s="47"/>
      <c r="J51" s="48"/>
      <c r="K51" s="48"/>
      <c r="L51" s="48"/>
      <c r="M51" s="48">
        <v>6</v>
      </c>
      <c r="N51" s="48"/>
      <c r="O51" s="48"/>
      <c r="P51" s="47">
        <v>3</v>
      </c>
      <c r="Q51" s="47"/>
      <c r="R51" s="47">
        <v>3</v>
      </c>
      <c r="S51" s="47"/>
      <c r="T51" s="47"/>
      <c r="U51" s="47"/>
      <c r="V51" s="48"/>
      <c r="W51" s="48"/>
      <c r="X51" s="48"/>
      <c r="Y51" s="48"/>
      <c r="Z51" s="48"/>
      <c r="AA51" s="48"/>
      <c r="AB51" s="47"/>
      <c r="AC51" s="47"/>
      <c r="AD51" s="47"/>
      <c r="AE51" s="47"/>
      <c r="AF51" s="47"/>
      <c r="AG51" s="47"/>
      <c r="AH51" s="48"/>
      <c r="AI51" s="48"/>
      <c r="AJ51" s="48"/>
      <c r="AK51" s="48"/>
      <c r="AL51" s="48"/>
      <c r="AM51" s="48"/>
      <c r="AN51" s="50"/>
      <c r="AO51" s="51">
        <f t="shared" si="4"/>
        <v>19</v>
      </c>
      <c r="AP51" s="300">
        <f t="shared" si="5"/>
        <v>19</v>
      </c>
    </row>
    <row r="52" spans="1:42" ht="21" x14ac:dyDescent="0.35">
      <c r="A52" s="36">
        <v>14</v>
      </c>
      <c r="B52" s="314" t="s">
        <v>378</v>
      </c>
      <c r="C52" s="70" t="s">
        <v>100</v>
      </c>
      <c r="D52" s="47">
        <v>2</v>
      </c>
      <c r="E52" s="47"/>
      <c r="F52" s="47">
        <v>1</v>
      </c>
      <c r="G52" s="47"/>
      <c r="H52" s="47"/>
      <c r="I52" s="47"/>
      <c r="J52" s="48"/>
      <c r="K52" s="48"/>
      <c r="L52" s="48">
        <v>1</v>
      </c>
      <c r="M52" s="48">
        <v>2</v>
      </c>
      <c r="N52" s="48"/>
      <c r="O52" s="48"/>
      <c r="P52" s="47">
        <v>4</v>
      </c>
      <c r="Q52" s="47"/>
      <c r="R52" s="47">
        <v>10</v>
      </c>
      <c r="S52" s="47"/>
      <c r="T52" s="47"/>
      <c r="U52" s="47"/>
      <c r="V52" s="48"/>
      <c r="W52" s="48"/>
      <c r="X52" s="48"/>
      <c r="Y52" s="48"/>
      <c r="Z52" s="48"/>
      <c r="AA52" s="48"/>
      <c r="AB52" s="47"/>
      <c r="AC52" s="47"/>
      <c r="AD52" s="47"/>
      <c r="AE52" s="47"/>
      <c r="AF52" s="47"/>
      <c r="AG52" s="47"/>
      <c r="AH52" s="48"/>
      <c r="AI52" s="48"/>
      <c r="AJ52" s="48"/>
      <c r="AK52" s="48"/>
      <c r="AL52" s="48"/>
      <c r="AM52" s="48"/>
      <c r="AN52" s="50"/>
      <c r="AO52" s="51">
        <f t="shared" si="4"/>
        <v>20</v>
      </c>
      <c r="AP52" s="300">
        <f t="shared" si="5"/>
        <v>20</v>
      </c>
    </row>
    <row r="53" spans="1:42" ht="21" x14ac:dyDescent="0.35">
      <c r="A53" s="36">
        <v>15</v>
      </c>
      <c r="B53" s="314" t="s">
        <v>378</v>
      </c>
      <c r="C53" s="70" t="s">
        <v>101</v>
      </c>
      <c r="D53" s="47">
        <v>2</v>
      </c>
      <c r="E53" s="47">
        <v>1</v>
      </c>
      <c r="F53" s="47"/>
      <c r="G53" s="47"/>
      <c r="H53" s="47"/>
      <c r="I53" s="47">
        <v>1</v>
      </c>
      <c r="J53" s="48"/>
      <c r="K53" s="48"/>
      <c r="L53" s="48"/>
      <c r="M53" s="48">
        <v>5</v>
      </c>
      <c r="N53" s="48"/>
      <c r="O53" s="48"/>
      <c r="P53" s="47">
        <v>3</v>
      </c>
      <c r="Q53" s="47"/>
      <c r="R53" s="47">
        <v>1</v>
      </c>
      <c r="S53" s="47"/>
      <c r="T53" s="47"/>
      <c r="U53" s="47"/>
      <c r="V53" s="48"/>
      <c r="W53" s="48"/>
      <c r="X53" s="48"/>
      <c r="Y53" s="48"/>
      <c r="Z53" s="48"/>
      <c r="AA53" s="48"/>
      <c r="AB53" s="47"/>
      <c r="AC53" s="47"/>
      <c r="AD53" s="47"/>
      <c r="AE53" s="47"/>
      <c r="AF53" s="47"/>
      <c r="AG53" s="47"/>
      <c r="AH53" s="48">
        <v>1</v>
      </c>
      <c r="AI53" s="48"/>
      <c r="AJ53" s="48"/>
      <c r="AK53" s="48"/>
      <c r="AL53" s="48"/>
      <c r="AM53" s="48"/>
      <c r="AN53" s="50"/>
      <c r="AO53" s="51">
        <f t="shared" si="4"/>
        <v>14</v>
      </c>
      <c r="AP53" s="300">
        <f>D53+E53+F53+G53+H53+I53+J53+K53+L53+M53+N53+O53+P53+Q53+R53+S53+T53+U53+V53+W53+X53+Y53+Z53+AA53+AB53+AC53+AD53+AE53+AF53+AG53+AH53+AI53+AJ53+AK53+AL53+AM53</f>
        <v>14</v>
      </c>
    </row>
    <row r="54" spans="1:42" ht="21" x14ac:dyDescent="0.35">
      <c r="A54" s="78">
        <v>1</v>
      </c>
      <c r="B54" s="315" t="s">
        <v>690</v>
      </c>
      <c r="C54" s="79" t="s">
        <v>102</v>
      </c>
      <c r="D54" s="57">
        <v>4</v>
      </c>
      <c r="E54" s="57"/>
      <c r="F54" s="58"/>
      <c r="G54" s="57"/>
      <c r="H54" s="57"/>
      <c r="I54" s="57"/>
      <c r="J54" s="55"/>
      <c r="K54" s="55"/>
      <c r="L54" s="59"/>
      <c r="M54" s="55">
        <v>10</v>
      </c>
      <c r="N54" s="55"/>
      <c r="O54" s="55"/>
      <c r="P54" s="57">
        <v>45</v>
      </c>
      <c r="Q54" s="57"/>
      <c r="R54" s="57">
        <v>16</v>
      </c>
      <c r="S54" s="57"/>
      <c r="T54" s="57"/>
      <c r="U54" s="57"/>
      <c r="V54" s="55"/>
      <c r="W54" s="55"/>
      <c r="X54" s="55"/>
      <c r="Y54" s="55"/>
      <c r="Z54" s="55"/>
      <c r="AA54" s="55"/>
      <c r="AB54" s="57"/>
      <c r="AC54" s="57"/>
      <c r="AD54" s="57"/>
      <c r="AE54" s="57"/>
      <c r="AF54" s="57">
        <v>1</v>
      </c>
      <c r="AG54" s="57"/>
      <c r="AH54" s="55">
        <v>1</v>
      </c>
      <c r="AI54" s="55"/>
      <c r="AJ54" s="55"/>
      <c r="AK54" s="55"/>
      <c r="AL54" s="55"/>
      <c r="AM54" s="55"/>
      <c r="AN54" s="60"/>
      <c r="AO54" s="51">
        <f t="shared" ref="AO54:AO59" si="6">SUM(D54:AN54)</f>
        <v>77</v>
      </c>
      <c r="AP54" s="300">
        <f>D54+E54+F54+G54+H54+I54+J54+K54+L54+M54+N54+O54+P54+Q54+R54+S54+T54+U54+V54+W54+X54+Y54+Z54+AA54+AB54+AC54+AD54+AE54+AF54+AG54+AH54+AI54+AJ54+AK54+AL54+AM54+AN54</f>
        <v>77</v>
      </c>
    </row>
    <row r="55" spans="1:42" ht="21" x14ac:dyDescent="0.35">
      <c r="A55" s="78">
        <v>2</v>
      </c>
      <c r="B55" s="315" t="s">
        <v>690</v>
      </c>
      <c r="C55" s="79" t="s">
        <v>103</v>
      </c>
      <c r="D55" s="53">
        <v>19</v>
      </c>
      <c r="E55" s="53">
        <v>3</v>
      </c>
      <c r="F55" s="53">
        <v>1</v>
      </c>
      <c r="G55" s="53"/>
      <c r="H55" s="53">
        <v>1</v>
      </c>
      <c r="I55" s="53"/>
      <c r="J55" s="54"/>
      <c r="K55" s="54">
        <v>18</v>
      </c>
      <c r="L55" s="54"/>
      <c r="M55" s="54">
        <v>103</v>
      </c>
      <c r="N55" s="54">
        <v>2</v>
      </c>
      <c r="O55" s="54"/>
      <c r="P55" s="53">
        <v>88</v>
      </c>
      <c r="Q55" s="53"/>
      <c r="R55" s="53">
        <v>12</v>
      </c>
      <c r="S55" s="53"/>
      <c r="T55" s="53"/>
      <c r="U55" s="53"/>
      <c r="V55" s="54"/>
      <c r="W55" s="54"/>
      <c r="X55" s="54">
        <v>5</v>
      </c>
      <c r="Y55" s="54">
        <v>1</v>
      </c>
      <c r="Z55" s="54">
        <v>1</v>
      </c>
      <c r="AA55" s="54">
        <v>3</v>
      </c>
      <c r="AB55" s="53"/>
      <c r="AC55" s="53"/>
      <c r="AD55" s="53"/>
      <c r="AE55" s="53"/>
      <c r="AF55" s="53"/>
      <c r="AG55" s="53"/>
      <c r="AH55" s="54">
        <v>1</v>
      </c>
      <c r="AI55" s="54"/>
      <c r="AJ55" s="54"/>
      <c r="AK55" s="54"/>
      <c r="AL55" s="54"/>
      <c r="AM55" s="54"/>
      <c r="AN55" s="74"/>
      <c r="AO55" s="51">
        <f t="shared" si="6"/>
        <v>258</v>
      </c>
      <c r="AP55" s="300">
        <f t="shared" ref="AP55:AP69" si="7">D55+E55+F55+G55+H55+I55+J55+K55+L55+M55+N55+O55+P55+Q55+R55+S55+T55+U55+V55+W55+X55+Y55+Z55+AA55+AB55+AC55+AD55+AE55+AF55+AG55+AH55+AI55+AJ55+AK55+AL55+AM55+AN55</f>
        <v>258</v>
      </c>
    </row>
    <row r="56" spans="1:42" ht="21" x14ac:dyDescent="0.35">
      <c r="A56" s="78">
        <v>3</v>
      </c>
      <c r="B56" s="315" t="s">
        <v>690</v>
      </c>
      <c r="C56" s="79" t="s">
        <v>104</v>
      </c>
      <c r="D56" s="57">
        <v>7</v>
      </c>
      <c r="E56" s="57"/>
      <c r="F56" s="58">
        <v>1</v>
      </c>
      <c r="G56" s="57"/>
      <c r="H56" s="57"/>
      <c r="I56" s="57"/>
      <c r="J56" s="55"/>
      <c r="K56" s="55"/>
      <c r="L56" s="59">
        <v>3</v>
      </c>
      <c r="M56" s="55">
        <v>12</v>
      </c>
      <c r="N56" s="55">
        <v>1</v>
      </c>
      <c r="O56" s="55"/>
      <c r="P56" s="57">
        <v>66</v>
      </c>
      <c r="Q56" s="57"/>
      <c r="R56" s="57">
        <v>49</v>
      </c>
      <c r="S56" s="57"/>
      <c r="T56" s="57"/>
      <c r="U56" s="57"/>
      <c r="V56" s="55"/>
      <c r="W56" s="55"/>
      <c r="X56" s="55">
        <v>1</v>
      </c>
      <c r="Y56" s="55"/>
      <c r="Z56" s="55">
        <v>1</v>
      </c>
      <c r="AA56" s="55"/>
      <c r="AB56" s="57"/>
      <c r="AC56" s="57"/>
      <c r="AD56" s="57"/>
      <c r="AE56" s="57"/>
      <c r="AF56" s="57"/>
      <c r="AG56" s="57"/>
      <c r="AH56" s="55"/>
      <c r="AI56" s="55"/>
      <c r="AJ56" s="55"/>
      <c r="AK56" s="55"/>
      <c r="AL56" s="55"/>
      <c r="AM56" s="55"/>
      <c r="AN56" s="60"/>
      <c r="AO56" s="51">
        <f t="shared" si="6"/>
        <v>141</v>
      </c>
      <c r="AP56" s="300">
        <f t="shared" si="7"/>
        <v>141</v>
      </c>
    </row>
    <row r="57" spans="1:42" ht="21" x14ac:dyDescent="0.35">
      <c r="A57" s="78">
        <v>4</v>
      </c>
      <c r="B57" s="315" t="s">
        <v>690</v>
      </c>
      <c r="C57" s="79" t="s">
        <v>105</v>
      </c>
      <c r="D57" s="47">
        <v>14</v>
      </c>
      <c r="E57" s="47">
        <v>5</v>
      </c>
      <c r="F57" s="47">
        <v>5</v>
      </c>
      <c r="G57" s="47"/>
      <c r="H57" s="47">
        <v>4</v>
      </c>
      <c r="I57" s="47">
        <v>6</v>
      </c>
      <c r="J57" s="48"/>
      <c r="K57" s="48">
        <v>34</v>
      </c>
      <c r="L57" s="48">
        <v>5</v>
      </c>
      <c r="M57" s="48">
        <v>120</v>
      </c>
      <c r="N57" s="48"/>
      <c r="O57" s="48"/>
      <c r="P57" s="47">
        <v>90</v>
      </c>
      <c r="Q57" s="47"/>
      <c r="R57" s="47">
        <v>19</v>
      </c>
      <c r="S57" s="47"/>
      <c r="T57" s="47"/>
      <c r="U57" s="47"/>
      <c r="V57" s="48"/>
      <c r="W57" s="48"/>
      <c r="X57" s="48">
        <v>1</v>
      </c>
      <c r="Y57" s="48"/>
      <c r="Z57" s="48"/>
      <c r="AA57" s="48"/>
      <c r="AB57" s="47"/>
      <c r="AC57" s="47"/>
      <c r="AD57" s="47"/>
      <c r="AE57" s="47"/>
      <c r="AF57" s="47"/>
      <c r="AG57" s="47">
        <v>2</v>
      </c>
      <c r="AH57" s="48"/>
      <c r="AI57" s="48"/>
      <c r="AJ57" s="48">
        <v>3</v>
      </c>
      <c r="AK57" s="48"/>
      <c r="AL57" s="48"/>
      <c r="AM57" s="48"/>
      <c r="AN57" s="50">
        <v>1</v>
      </c>
      <c r="AO57" s="51">
        <f t="shared" si="6"/>
        <v>309</v>
      </c>
      <c r="AP57" s="300">
        <f t="shared" si="7"/>
        <v>309</v>
      </c>
    </row>
    <row r="58" spans="1:42" ht="21" x14ac:dyDescent="0.35">
      <c r="A58" s="78">
        <v>5</v>
      </c>
      <c r="B58" s="315" t="s">
        <v>690</v>
      </c>
      <c r="C58" s="79" t="s">
        <v>106</v>
      </c>
      <c r="D58" s="47">
        <v>15</v>
      </c>
      <c r="E58" s="47"/>
      <c r="F58" s="47">
        <v>3</v>
      </c>
      <c r="G58" s="47"/>
      <c r="H58" s="47"/>
      <c r="I58" s="47">
        <v>2</v>
      </c>
      <c r="J58" s="48">
        <v>3</v>
      </c>
      <c r="K58" s="48">
        <v>2</v>
      </c>
      <c r="L58" s="48"/>
      <c r="M58" s="48">
        <v>126</v>
      </c>
      <c r="N58" s="48"/>
      <c r="O58" s="48"/>
      <c r="P58" s="47">
        <v>66</v>
      </c>
      <c r="Q58" s="47"/>
      <c r="R58" s="47">
        <v>14</v>
      </c>
      <c r="S58" s="47"/>
      <c r="T58" s="47"/>
      <c r="U58" s="47"/>
      <c r="V58" s="48"/>
      <c r="W58" s="48"/>
      <c r="X58" s="48">
        <v>1</v>
      </c>
      <c r="Y58" s="48"/>
      <c r="Z58" s="48"/>
      <c r="AA58" s="48"/>
      <c r="AB58" s="47"/>
      <c r="AC58" s="47"/>
      <c r="AD58" s="47"/>
      <c r="AE58" s="47"/>
      <c r="AF58" s="47">
        <v>1</v>
      </c>
      <c r="AG58" s="47"/>
      <c r="AH58" s="48"/>
      <c r="AI58" s="48"/>
      <c r="AJ58" s="48"/>
      <c r="AK58" s="48"/>
      <c r="AL58" s="48"/>
      <c r="AM58" s="48"/>
      <c r="AN58" s="50"/>
      <c r="AO58" s="51">
        <f t="shared" si="6"/>
        <v>233</v>
      </c>
      <c r="AP58" s="300">
        <f t="shared" si="7"/>
        <v>233</v>
      </c>
    </row>
    <row r="59" spans="1:42" ht="21" x14ac:dyDescent="0.35">
      <c r="A59" s="78">
        <v>6</v>
      </c>
      <c r="B59" s="315" t="s">
        <v>690</v>
      </c>
      <c r="C59" s="79" t="s">
        <v>107</v>
      </c>
      <c r="D59" s="47">
        <v>7</v>
      </c>
      <c r="E59" s="47">
        <v>2</v>
      </c>
      <c r="F59" s="47">
        <v>2</v>
      </c>
      <c r="G59" s="47"/>
      <c r="H59" s="47"/>
      <c r="I59" s="47"/>
      <c r="J59" s="48"/>
      <c r="K59" s="48"/>
      <c r="L59" s="48">
        <v>3</v>
      </c>
      <c r="M59" s="48">
        <v>49</v>
      </c>
      <c r="N59" s="48">
        <v>1</v>
      </c>
      <c r="O59" s="48"/>
      <c r="P59" s="47">
        <v>31</v>
      </c>
      <c r="Q59" s="47"/>
      <c r="R59" s="47">
        <v>18</v>
      </c>
      <c r="S59" s="47"/>
      <c r="T59" s="47"/>
      <c r="U59" s="47"/>
      <c r="V59" s="48"/>
      <c r="W59" s="48"/>
      <c r="X59" s="48"/>
      <c r="Y59" s="48"/>
      <c r="Z59" s="48"/>
      <c r="AA59" s="48"/>
      <c r="AB59" s="47"/>
      <c r="AC59" s="47"/>
      <c r="AD59" s="47"/>
      <c r="AE59" s="47"/>
      <c r="AF59" s="47"/>
      <c r="AG59" s="47"/>
      <c r="AH59" s="48"/>
      <c r="AI59" s="48"/>
      <c r="AJ59" s="48"/>
      <c r="AK59" s="48"/>
      <c r="AL59" s="48"/>
      <c r="AM59" s="48"/>
      <c r="AN59" s="50"/>
      <c r="AO59" s="51">
        <f t="shared" si="6"/>
        <v>113</v>
      </c>
      <c r="AP59" s="300">
        <f t="shared" si="7"/>
        <v>113</v>
      </c>
    </row>
    <row r="60" spans="1:42" ht="21" x14ac:dyDescent="0.35">
      <c r="A60" s="78">
        <v>7</v>
      </c>
      <c r="B60" s="315" t="s">
        <v>690</v>
      </c>
      <c r="C60" s="79" t="s">
        <v>108</v>
      </c>
      <c r="D60" s="47">
        <v>16</v>
      </c>
      <c r="E60" s="47"/>
      <c r="F60" s="47">
        <v>4</v>
      </c>
      <c r="G60" s="47"/>
      <c r="H60" s="47"/>
      <c r="I60" s="47"/>
      <c r="J60" s="48"/>
      <c r="K60" s="48">
        <v>2</v>
      </c>
      <c r="L60" s="48">
        <v>4</v>
      </c>
      <c r="M60" s="48">
        <v>20</v>
      </c>
      <c r="N60" s="48">
        <v>2</v>
      </c>
      <c r="O60" s="48"/>
      <c r="P60" s="47">
        <v>98</v>
      </c>
      <c r="Q60" s="47"/>
      <c r="R60" s="47">
        <v>56</v>
      </c>
      <c r="S60" s="47"/>
      <c r="T60" s="47"/>
      <c r="U60" s="47"/>
      <c r="V60" s="48"/>
      <c r="W60" s="48">
        <v>1</v>
      </c>
      <c r="X60" s="48"/>
      <c r="Y60" s="48"/>
      <c r="Z60" s="48"/>
      <c r="AA60" s="48"/>
      <c r="AB60" s="47"/>
      <c r="AC60" s="47"/>
      <c r="AD60" s="47"/>
      <c r="AE60" s="47"/>
      <c r="AF60" s="47"/>
      <c r="AG60" s="47"/>
      <c r="AH60" s="48"/>
      <c r="AI60" s="48"/>
      <c r="AJ60" s="48"/>
      <c r="AK60" s="48"/>
      <c r="AL60" s="48"/>
      <c r="AM60" s="48"/>
      <c r="AN60" s="50">
        <v>1</v>
      </c>
      <c r="AO60" s="51" t="s">
        <v>50</v>
      </c>
      <c r="AP60" s="300">
        <f t="shared" si="7"/>
        <v>204</v>
      </c>
    </row>
    <row r="61" spans="1:42" ht="21" x14ac:dyDescent="0.35">
      <c r="A61" s="78">
        <v>8</v>
      </c>
      <c r="B61" s="315" t="s">
        <v>690</v>
      </c>
      <c r="C61" s="79" t="s">
        <v>109</v>
      </c>
      <c r="D61" s="47">
        <v>3</v>
      </c>
      <c r="E61" s="47"/>
      <c r="F61" s="47"/>
      <c r="G61" s="47"/>
      <c r="H61" s="47"/>
      <c r="I61" s="47">
        <v>13</v>
      </c>
      <c r="J61" s="48"/>
      <c r="K61" s="48"/>
      <c r="L61" s="48"/>
      <c r="M61" s="48">
        <v>1</v>
      </c>
      <c r="N61" s="48"/>
      <c r="O61" s="48"/>
      <c r="P61" s="47">
        <v>1</v>
      </c>
      <c r="Q61" s="47"/>
      <c r="R61" s="47"/>
      <c r="S61" s="47"/>
      <c r="T61" s="47"/>
      <c r="U61" s="47"/>
      <c r="V61" s="48"/>
      <c r="W61" s="48"/>
      <c r="X61" s="48"/>
      <c r="Y61" s="48"/>
      <c r="Z61" s="48"/>
      <c r="AA61" s="48"/>
      <c r="AB61" s="47"/>
      <c r="AC61" s="47"/>
      <c r="AD61" s="47"/>
      <c r="AE61" s="47"/>
      <c r="AF61" s="47"/>
      <c r="AG61" s="47"/>
      <c r="AH61" s="48"/>
      <c r="AI61" s="48"/>
      <c r="AJ61" s="48"/>
      <c r="AK61" s="48"/>
      <c r="AL61" s="48"/>
      <c r="AM61" s="48"/>
      <c r="AN61" s="50"/>
      <c r="AO61" s="51">
        <f>SUM(D61:AN61)</f>
        <v>18</v>
      </c>
      <c r="AP61" s="300">
        <f t="shared" si="7"/>
        <v>18</v>
      </c>
    </row>
    <row r="62" spans="1:42" ht="21" x14ac:dyDescent="0.35">
      <c r="A62" s="78">
        <v>9</v>
      </c>
      <c r="B62" s="315" t="s">
        <v>690</v>
      </c>
      <c r="C62" s="79" t="s">
        <v>110</v>
      </c>
      <c r="D62" s="47">
        <v>4</v>
      </c>
      <c r="E62" s="47">
        <v>2</v>
      </c>
      <c r="F62" s="47">
        <v>1</v>
      </c>
      <c r="G62" s="47">
        <v>2</v>
      </c>
      <c r="H62" s="47"/>
      <c r="I62" s="47"/>
      <c r="J62" s="48"/>
      <c r="K62" s="48">
        <v>1</v>
      </c>
      <c r="L62" s="48">
        <v>1</v>
      </c>
      <c r="M62" s="48">
        <v>75</v>
      </c>
      <c r="N62" s="48"/>
      <c r="O62" s="48"/>
      <c r="P62" s="47">
        <v>45</v>
      </c>
      <c r="Q62" s="47"/>
      <c r="R62" s="47">
        <v>10</v>
      </c>
      <c r="S62" s="47"/>
      <c r="T62" s="47"/>
      <c r="U62" s="47"/>
      <c r="V62" s="48"/>
      <c r="W62" s="48"/>
      <c r="X62" s="48"/>
      <c r="Y62" s="48"/>
      <c r="Z62" s="48"/>
      <c r="AA62" s="48">
        <v>1</v>
      </c>
      <c r="AB62" s="47"/>
      <c r="AC62" s="47"/>
      <c r="AD62" s="47"/>
      <c r="AE62" s="47"/>
      <c r="AF62" s="47"/>
      <c r="AG62" s="47"/>
      <c r="AH62" s="48">
        <v>1</v>
      </c>
      <c r="AI62" s="48"/>
      <c r="AJ62" s="48">
        <v>1</v>
      </c>
      <c r="AK62" s="48"/>
      <c r="AL62" s="48"/>
      <c r="AM62" s="48"/>
      <c r="AN62" s="50"/>
      <c r="AO62" s="51" t="s">
        <v>50</v>
      </c>
      <c r="AP62" s="300">
        <f t="shared" si="7"/>
        <v>144</v>
      </c>
    </row>
    <row r="63" spans="1:42" ht="21" x14ac:dyDescent="0.35">
      <c r="A63" s="78">
        <v>10</v>
      </c>
      <c r="B63" s="315" t="s">
        <v>690</v>
      </c>
      <c r="C63" s="79" t="s">
        <v>111</v>
      </c>
      <c r="D63" s="57"/>
      <c r="E63" s="57">
        <v>4</v>
      </c>
      <c r="F63" s="57"/>
      <c r="G63" s="58"/>
      <c r="H63" s="58"/>
      <c r="I63" s="58"/>
      <c r="J63" s="55"/>
      <c r="K63" s="55"/>
      <c r="L63" s="55">
        <v>3</v>
      </c>
      <c r="M63" s="59">
        <v>1</v>
      </c>
      <c r="N63" s="59"/>
      <c r="O63" s="59"/>
      <c r="P63" s="57">
        <v>2</v>
      </c>
      <c r="Q63" s="57"/>
      <c r="R63" s="57">
        <v>1</v>
      </c>
      <c r="S63" s="58"/>
      <c r="T63" s="58"/>
      <c r="U63" s="58"/>
      <c r="V63" s="55"/>
      <c r="W63" s="55"/>
      <c r="X63" s="55"/>
      <c r="Y63" s="59"/>
      <c r="Z63" s="59">
        <v>1</v>
      </c>
      <c r="AA63" s="59"/>
      <c r="AB63" s="57"/>
      <c r="AC63" s="57"/>
      <c r="AD63" s="57">
        <v>1</v>
      </c>
      <c r="AE63" s="58">
        <v>1</v>
      </c>
      <c r="AF63" s="58">
        <v>1</v>
      </c>
      <c r="AG63" s="58"/>
      <c r="AH63" s="55"/>
      <c r="AI63" s="55"/>
      <c r="AJ63" s="55"/>
      <c r="AK63" s="59"/>
      <c r="AL63" s="59"/>
      <c r="AM63" s="59"/>
      <c r="AN63" s="80"/>
      <c r="AO63" s="51">
        <f>SUM(D63:AN63)</f>
        <v>15</v>
      </c>
      <c r="AP63" s="300">
        <f t="shared" si="7"/>
        <v>15</v>
      </c>
    </row>
    <row r="64" spans="1:42" ht="21" x14ac:dyDescent="0.35">
      <c r="A64" s="78">
        <v>11</v>
      </c>
      <c r="B64" s="315" t="s">
        <v>690</v>
      </c>
      <c r="C64" s="79" t="s">
        <v>112</v>
      </c>
      <c r="D64" s="47"/>
      <c r="E64" s="47"/>
      <c r="F64" s="47">
        <v>2</v>
      </c>
      <c r="G64" s="47"/>
      <c r="H64" s="47"/>
      <c r="I64" s="47"/>
      <c r="J64" s="48"/>
      <c r="K64" s="48">
        <v>1</v>
      </c>
      <c r="L64" s="48">
        <v>1</v>
      </c>
      <c r="M64" s="48">
        <v>17</v>
      </c>
      <c r="N64" s="48"/>
      <c r="O64" s="48"/>
      <c r="P64" s="47">
        <v>6</v>
      </c>
      <c r="Q64" s="47"/>
      <c r="R64" s="47">
        <v>6</v>
      </c>
      <c r="S64" s="47"/>
      <c r="T64" s="47"/>
      <c r="U64" s="47"/>
      <c r="V64" s="48"/>
      <c r="W64" s="48"/>
      <c r="X64" s="48"/>
      <c r="Y64" s="48"/>
      <c r="Z64" s="48"/>
      <c r="AA64" s="48"/>
      <c r="AB64" s="47"/>
      <c r="AC64" s="47"/>
      <c r="AD64" s="47"/>
      <c r="AE64" s="47"/>
      <c r="AF64" s="47"/>
      <c r="AG64" s="47"/>
      <c r="AH64" s="48"/>
      <c r="AI64" s="48"/>
      <c r="AJ64" s="48"/>
      <c r="AK64" s="48"/>
      <c r="AL64" s="48"/>
      <c r="AM64" s="48"/>
      <c r="AN64" s="50"/>
      <c r="AO64" s="51">
        <f>SUM(D64:AN64)</f>
        <v>33</v>
      </c>
      <c r="AP64" s="300">
        <f t="shared" si="7"/>
        <v>33</v>
      </c>
    </row>
    <row r="65" spans="1:43" ht="21" x14ac:dyDescent="0.35">
      <c r="A65" s="78">
        <v>12</v>
      </c>
      <c r="B65" s="315" t="s">
        <v>690</v>
      </c>
      <c r="C65" s="81" t="s">
        <v>113</v>
      </c>
      <c r="D65" s="82">
        <v>5</v>
      </c>
      <c r="E65" s="82">
        <v>7</v>
      </c>
      <c r="F65" s="83"/>
      <c r="G65" s="82"/>
      <c r="H65" s="82"/>
      <c r="I65" s="82"/>
      <c r="J65" s="84"/>
      <c r="K65" s="84">
        <v>19</v>
      </c>
      <c r="L65" s="85">
        <v>2</v>
      </c>
      <c r="M65" s="84">
        <v>51</v>
      </c>
      <c r="N65" s="84"/>
      <c r="O65" s="84"/>
      <c r="P65" s="82">
        <v>43</v>
      </c>
      <c r="Q65" s="82"/>
      <c r="R65" s="82">
        <v>3</v>
      </c>
      <c r="S65" s="82"/>
      <c r="T65" s="82"/>
      <c r="U65" s="82"/>
      <c r="V65" s="84"/>
      <c r="W65" s="84"/>
      <c r="X65" s="84">
        <v>1</v>
      </c>
      <c r="Y65" s="84"/>
      <c r="Z65" s="84"/>
      <c r="AA65" s="84"/>
      <c r="AB65" s="82"/>
      <c r="AC65" s="82"/>
      <c r="AD65" s="82">
        <v>1</v>
      </c>
      <c r="AE65" s="82"/>
      <c r="AF65" s="82"/>
      <c r="AG65" s="82">
        <v>1</v>
      </c>
      <c r="AH65" s="84"/>
      <c r="AI65" s="84"/>
      <c r="AJ65" s="84">
        <v>1</v>
      </c>
      <c r="AK65" s="84"/>
      <c r="AL65" s="84"/>
      <c r="AM65" s="84"/>
      <c r="AN65" s="86"/>
      <c r="AO65" s="51">
        <v>127</v>
      </c>
      <c r="AP65" s="300">
        <f t="shared" si="7"/>
        <v>134</v>
      </c>
    </row>
    <row r="66" spans="1:43" ht="21" x14ac:dyDescent="0.35">
      <c r="A66" s="78">
        <v>13</v>
      </c>
      <c r="B66" s="315" t="s">
        <v>690</v>
      </c>
      <c r="C66" s="79" t="s">
        <v>114</v>
      </c>
      <c r="D66" s="53"/>
      <c r="E66" s="53"/>
      <c r="F66" s="53"/>
      <c r="G66" s="53"/>
      <c r="H66" s="53"/>
      <c r="I66" s="53"/>
      <c r="J66" s="54"/>
      <c r="K66" s="54"/>
      <c r="L66" s="54"/>
      <c r="M66" s="54"/>
      <c r="N66" s="54"/>
      <c r="O66" s="54"/>
      <c r="P66" s="53">
        <v>7</v>
      </c>
      <c r="Q66" s="53"/>
      <c r="R66" s="53"/>
      <c r="S66" s="53"/>
      <c r="T66" s="53"/>
      <c r="U66" s="53"/>
      <c r="V66" s="54"/>
      <c r="W66" s="54"/>
      <c r="X66" s="54"/>
      <c r="Y66" s="54"/>
      <c r="Z66" s="54"/>
      <c r="AA66" s="54"/>
      <c r="AB66" s="53"/>
      <c r="AC66" s="53"/>
      <c r="AD66" s="53"/>
      <c r="AE66" s="53"/>
      <c r="AF66" s="53"/>
      <c r="AG66" s="53"/>
      <c r="AH66" s="54"/>
      <c r="AI66" s="54"/>
      <c r="AJ66" s="54"/>
      <c r="AK66" s="54"/>
      <c r="AL66" s="54"/>
      <c r="AM66" s="54"/>
      <c r="AN66" s="74"/>
      <c r="AO66" s="51">
        <f>SUM(D66:AN66)</f>
        <v>7</v>
      </c>
      <c r="AP66" s="300">
        <f t="shared" si="7"/>
        <v>7</v>
      </c>
    </row>
    <row r="67" spans="1:43" ht="21" x14ac:dyDescent="0.35">
      <c r="A67" s="78">
        <v>14</v>
      </c>
      <c r="B67" s="315" t="s">
        <v>690</v>
      </c>
      <c r="C67" s="79" t="s">
        <v>115</v>
      </c>
      <c r="D67" s="47">
        <v>3</v>
      </c>
      <c r="E67" s="47"/>
      <c r="F67" s="47"/>
      <c r="G67" s="47"/>
      <c r="H67" s="47">
        <v>1</v>
      </c>
      <c r="I67" s="47">
        <v>2</v>
      </c>
      <c r="J67" s="48"/>
      <c r="K67" s="48">
        <v>1</v>
      </c>
      <c r="L67" s="48">
        <v>2</v>
      </c>
      <c r="M67" s="48">
        <v>49</v>
      </c>
      <c r="N67" s="48"/>
      <c r="O67" s="48"/>
      <c r="P67" s="47">
        <v>21</v>
      </c>
      <c r="Q67" s="47"/>
      <c r="R67" s="47">
        <v>6</v>
      </c>
      <c r="S67" s="47"/>
      <c r="T67" s="47">
        <v>1</v>
      </c>
      <c r="U67" s="47"/>
      <c r="V67" s="48"/>
      <c r="W67" s="48"/>
      <c r="X67" s="48"/>
      <c r="Y67" s="48"/>
      <c r="Z67" s="48"/>
      <c r="AA67" s="48"/>
      <c r="AB67" s="47"/>
      <c r="AC67" s="47"/>
      <c r="AD67" s="47"/>
      <c r="AE67" s="47">
        <v>1</v>
      </c>
      <c r="AF67" s="47"/>
      <c r="AG67" s="47"/>
      <c r="AH67" s="48"/>
      <c r="AI67" s="48"/>
      <c r="AJ67" s="48"/>
      <c r="AK67" s="48"/>
      <c r="AL67" s="48"/>
      <c r="AM67" s="48"/>
      <c r="AN67" s="50">
        <v>2</v>
      </c>
      <c r="AO67" s="51" t="s">
        <v>50</v>
      </c>
      <c r="AP67" s="300">
        <f t="shared" si="7"/>
        <v>89</v>
      </c>
    </row>
    <row r="68" spans="1:43" ht="21" x14ac:dyDescent="0.35">
      <c r="A68" s="78">
        <v>15</v>
      </c>
      <c r="B68" s="315" t="s">
        <v>690</v>
      </c>
      <c r="C68" s="79" t="s">
        <v>116</v>
      </c>
      <c r="D68" s="47">
        <v>2</v>
      </c>
      <c r="E68" s="47"/>
      <c r="F68" s="47"/>
      <c r="G68" s="47"/>
      <c r="H68" s="47"/>
      <c r="I68" s="47">
        <v>1</v>
      </c>
      <c r="J68" s="48"/>
      <c r="K68" s="48">
        <v>5</v>
      </c>
      <c r="L68" s="48"/>
      <c r="M68" s="48">
        <v>4</v>
      </c>
      <c r="N68" s="48"/>
      <c r="O68" s="48"/>
      <c r="P68" s="47">
        <v>31</v>
      </c>
      <c r="Q68" s="47"/>
      <c r="R68" s="47">
        <v>2</v>
      </c>
      <c r="S68" s="47"/>
      <c r="T68" s="47"/>
      <c r="U68" s="47"/>
      <c r="V68" s="48"/>
      <c r="W68" s="48"/>
      <c r="X68" s="48"/>
      <c r="Y68" s="48"/>
      <c r="Z68" s="48"/>
      <c r="AA68" s="48"/>
      <c r="AB68" s="47"/>
      <c r="AC68" s="47"/>
      <c r="AD68" s="47"/>
      <c r="AE68" s="47"/>
      <c r="AF68" s="47"/>
      <c r="AG68" s="47"/>
      <c r="AH68" s="48"/>
      <c r="AI68" s="48"/>
      <c r="AJ68" s="48"/>
      <c r="AK68" s="48"/>
      <c r="AL68" s="48"/>
      <c r="AM68" s="48"/>
      <c r="AN68" s="50"/>
      <c r="AO68" s="51">
        <f>SUM(D68:AN68)</f>
        <v>45</v>
      </c>
      <c r="AP68" s="300">
        <f t="shared" si="7"/>
        <v>45</v>
      </c>
    </row>
    <row r="69" spans="1:43" ht="21" x14ac:dyDescent="0.35">
      <c r="A69" s="78">
        <v>16</v>
      </c>
      <c r="B69" s="315" t="s">
        <v>690</v>
      </c>
      <c r="C69" s="79" t="s">
        <v>117</v>
      </c>
      <c r="D69" s="47">
        <v>8</v>
      </c>
      <c r="E69" s="47">
        <v>4</v>
      </c>
      <c r="F69" s="47">
        <v>2</v>
      </c>
      <c r="G69" s="47"/>
      <c r="H69" s="47"/>
      <c r="I69" s="47">
        <v>1</v>
      </c>
      <c r="J69" s="48"/>
      <c r="K69" s="48"/>
      <c r="L69" s="48">
        <v>3</v>
      </c>
      <c r="M69" s="48">
        <v>20</v>
      </c>
      <c r="N69" s="48"/>
      <c r="O69" s="48"/>
      <c r="P69" s="47">
        <v>27</v>
      </c>
      <c r="Q69" s="47"/>
      <c r="R69" s="47">
        <v>4</v>
      </c>
      <c r="S69" s="47"/>
      <c r="T69" s="47"/>
      <c r="U69" s="47"/>
      <c r="V69" s="48"/>
      <c r="W69" s="48"/>
      <c r="X69" s="48"/>
      <c r="Y69" s="48"/>
      <c r="Z69" s="48"/>
      <c r="AA69" s="48"/>
      <c r="AB69" s="47"/>
      <c r="AC69" s="47"/>
      <c r="AD69" s="47"/>
      <c r="AE69" s="47"/>
      <c r="AF69" s="47"/>
      <c r="AG69" s="47"/>
      <c r="AH69" s="48"/>
      <c r="AI69" s="48"/>
      <c r="AJ69" s="48"/>
      <c r="AK69" s="48"/>
      <c r="AL69" s="48"/>
      <c r="AM69" s="48"/>
      <c r="AN69" s="50"/>
      <c r="AO69" s="51">
        <f>SUM(D69:AN69)</f>
        <v>69</v>
      </c>
      <c r="AP69" s="300">
        <f t="shared" si="7"/>
        <v>69</v>
      </c>
    </row>
    <row r="70" spans="1:43" ht="21" x14ac:dyDescent="0.35">
      <c r="A70" s="78">
        <v>1</v>
      </c>
      <c r="B70" s="316" t="s">
        <v>411</v>
      </c>
      <c r="C70" s="89" t="s">
        <v>118</v>
      </c>
      <c r="D70" s="46">
        <v>14</v>
      </c>
      <c r="E70" s="47">
        <v>1</v>
      </c>
      <c r="F70" s="47">
        <v>4</v>
      </c>
      <c r="G70" s="47"/>
      <c r="H70" s="47">
        <v>5</v>
      </c>
      <c r="I70" s="47">
        <v>11</v>
      </c>
      <c r="J70" s="48">
        <v>2</v>
      </c>
      <c r="K70" s="48">
        <v>7</v>
      </c>
      <c r="L70" s="48">
        <v>3</v>
      </c>
      <c r="M70" s="48">
        <v>68</v>
      </c>
      <c r="N70" s="48">
        <v>7</v>
      </c>
      <c r="O70" s="48"/>
      <c r="P70" s="47">
        <v>170</v>
      </c>
      <c r="Q70" s="47"/>
      <c r="R70" s="47">
        <v>24</v>
      </c>
      <c r="S70" s="47"/>
      <c r="T70" s="47">
        <v>4</v>
      </c>
      <c r="U70" s="47"/>
      <c r="V70" s="48"/>
      <c r="W70" s="48"/>
      <c r="X70" s="48">
        <v>5</v>
      </c>
      <c r="Y70" s="48">
        <v>2</v>
      </c>
      <c r="Z70" s="48"/>
      <c r="AA70" s="48">
        <v>3</v>
      </c>
      <c r="AB70" s="47"/>
      <c r="AC70" s="47"/>
      <c r="AD70" s="47">
        <v>1</v>
      </c>
      <c r="AE70" s="47"/>
      <c r="AF70" s="47"/>
      <c r="AG70" s="47">
        <v>1</v>
      </c>
      <c r="AH70" s="48">
        <v>4</v>
      </c>
      <c r="AI70" s="48"/>
      <c r="AJ70" s="48">
        <v>1</v>
      </c>
      <c r="AK70" s="48"/>
      <c r="AL70" s="48"/>
      <c r="AM70" s="48"/>
      <c r="AN70" s="50"/>
      <c r="AO70" s="51">
        <f t="shared" ref="AO70:AO79" si="8">SUM(D70:AN70)</f>
        <v>337</v>
      </c>
      <c r="AP70" s="300">
        <f>D70+E70+F70+G70+H70+I70+J70+K70+L70+M70+O70+N70+P70+Q70+R70+S70+T70+U70+V70+W70+X70+Y70+Z70+AA70+AB70+AC70+AD70+AE70+AF70+AG70+AH70+AI70+AJ70+AK70+AL70+AM70+AN70</f>
        <v>337</v>
      </c>
    </row>
    <row r="71" spans="1:43" ht="21" x14ac:dyDescent="0.35">
      <c r="A71" s="78">
        <v>2</v>
      </c>
      <c r="B71" s="316" t="s">
        <v>411</v>
      </c>
      <c r="C71" s="89" t="s">
        <v>119</v>
      </c>
      <c r="D71" s="46">
        <v>15</v>
      </c>
      <c r="E71" s="47"/>
      <c r="F71" s="47"/>
      <c r="G71" s="47">
        <v>1</v>
      </c>
      <c r="H71" s="47"/>
      <c r="I71" s="47"/>
      <c r="J71" s="48"/>
      <c r="K71" s="48">
        <v>2</v>
      </c>
      <c r="L71" s="48">
        <v>1</v>
      </c>
      <c r="M71" s="48">
        <v>61</v>
      </c>
      <c r="N71" s="48"/>
      <c r="O71" s="48"/>
      <c r="P71" s="47">
        <v>69</v>
      </c>
      <c r="Q71" s="47"/>
      <c r="R71" s="47">
        <v>20</v>
      </c>
      <c r="S71" s="47"/>
      <c r="T71" s="47"/>
      <c r="U71" s="47"/>
      <c r="V71" s="48"/>
      <c r="W71" s="48"/>
      <c r="X71" s="48">
        <v>2</v>
      </c>
      <c r="Y71" s="48">
        <v>1</v>
      </c>
      <c r="Z71" s="48"/>
      <c r="AA71" s="48"/>
      <c r="AB71" s="47"/>
      <c r="AC71" s="47"/>
      <c r="AD71" s="47"/>
      <c r="AE71" s="47">
        <v>1</v>
      </c>
      <c r="AF71" s="47"/>
      <c r="AG71" s="47"/>
      <c r="AH71" s="48"/>
      <c r="AI71" s="48"/>
      <c r="AJ71" s="48"/>
      <c r="AK71" s="48"/>
      <c r="AL71" s="48"/>
      <c r="AM71" s="48"/>
      <c r="AN71" s="50"/>
      <c r="AO71" s="51">
        <f t="shared" si="8"/>
        <v>173</v>
      </c>
      <c r="AP71" s="300">
        <f t="shared" ref="AP71:AP79" si="9">D71+E71+F71+G71+H71+I71+J71+K71+L71+M71+O71+N71+P71+Q71+R71+S71+T71+U71+V71+W71+X71+Y71+Z71+AA71+AB71+AC71+AD71+AE71+AF71+AG71+AH71+AI71+AJ71+AK71+AL71+AM71+AN71</f>
        <v>173</v>
      </c>
    </row>
    <row r="72" spans="1:43" ht="21" x14ac:dyDescent="0.35">
      <c r="A72" s="78">
        <v>3</v>
      </c>
      <c r="B72" s="316" t="s">
        <v>411</v>
      </c>
      <c r="C72" s="89" t="s">
        <v>120</v>
      </c>
      <c r="D72" s="46"/>
      <c r="E72" s="47"/>
      <c r="F72" s="47">
        <v>1</v>
      </c>
      <c r="G72" s="47"/>
      <c r="H72" s="47"/>
      <c r="I72" s="47"/>
      <c r="J72" s="48"/>
      <c r="K72" s="48"/>
      <c r="L72" s="48"/>
      <c r="M72" s="48">
        <v>8</v>
      </c>
      <c r="N72" s="48"/>
      <c r="O72" s="48"/>
      <c r="P72" s="47">
        <v>4</v>
      </c>
      <c r="Q72" s="47"/>
      <c r="R72" s="47">
        <v>1</v>
      </c>
      <c r="S72" s="47"/>
      <c r="T72" s="47"/>
      <c r="U72" s="47"/>
      <c r="V72" s="48"/>
      <c r="W72" s="48"/>
      <c r="X72" s="48"/>
      <c r="Y72" s="48"/>
      <c r="Z72" s="48"/>
      <c r="AA72" s="48"/>
      <c r="AB72" s="47"/>
      <c r="AC72" s="47"/>
      <c r="AD72" s="47"/>
      <c r="AE72" s="47"/>
      <c r="AF72" s="47"/>
      <c r="AG72" s="47">
        <v>1</v>
      </c>
      <c r="AH72" s="48"/>
      <c r="AI72" s="48"/>
      <c r="AJ72" s="48"/>
      <c r="AK72" s="48"/>
      <c r="AL72" s="48"/>
      <c r="AM72" s="48"/>
      <c r="AN72" s="50"/>
      <c r="AO72" s="51">
        <f t="shared" si="8"/>
        <v>15</v>
      </c>
      <c r="AP72" s="300">
        <f t="shared" si="9"/>
        <v>15</v>
      </c>
    </row>
    <row r="73" spans="1:43" ht="21" x14ac:dyDescent="0.35">
      <c r="A73" s="78">
        <v>4</v>
      </c>
      <c r="B73" s="316" t="s">
        <v>411</v>
      </c>
      <c r="C73" s="89" t="s">
        <v>121</v>
      </c>
      <c r="D73" s="46"/>
      <c r="E73" s="47"/>
      <c r="F73" s="47"/>
      <c r="G73" s="47"/>
      <c r="H73" s="47"/>
      <c r="I73" s="47"/>
      <c r="J73" s="48"/>
      <c r="K73" s="48">
        <v>1</v>
      </c>
      <c r="L73" s="48"/>
      <c r="M73" s="48">
        <v>5</v>
      </c>
      <c r="N73" s="48">
        <v>1</v>
      </c>
      <c r="O73" s="48"/>
      <c r="P73" s="47">
        <v>11</v>
      </c>
      <c r="Q73" s="47"/>
      <c r="R73" s="47">
        <v>4</v>
      </c>
      <c r="S73" s="47"/>
      <c r="T73" s="47"/>
      <c r="U73" s="47"/>
      <c r="V73" s="48"/>
      <c r="W73" s="48"/>
      <c r="X73" s="48"/>
      <c r="Y73" s="48"/>
      <c r="Z73" s="48"/>
      <c r="AA73" s="48"/>
      <c r="AB73" s="47"/>
      <c r="AC73" s="47"/>
      <c r="AD73" s="47"/>
      <c r="AE73" s="47"/>
      <c r="AF73" s="47"/>
      <c r="AG73" s="47"/>
      <c r="AH73" s="48"/>
      <c r="AI73" s="48"/>
      <c r="AJ73" s="48"/>
      <c r="AK73" s="48"/>
      <c r="AL73" s="48"/>
      <c r="AM73" s="48"/>
      <c r="AN73" s="50"/>
      <c r="AO73" s="51">
        <f t="shared" si="8"/>
        <v>22</v>
      </c>
      <c r="AP73" s="300">
        <f t="shared" si="9"/>
        <v>22</v>
      </c>
    </row>
    <row r="74" spans="1:43" ht="21" x14ac:dyDescent="0.35">
      <c r="A74" s="78">
        <v>5</v>
      </c>
      <c r="B74" s="316" t="s">
        <v>411</v>
      </c>
      <c r="C74" s="89" t="s">
        <v>122</v>
      </c>
      <c r="D74" s="46"/>
      <c r="E74" s="47"/>
      <c r="F74" s="47"/>
      <c r="G74" s="47"/>
      <c r="H74" s="47"/>
      <c r="I74" s="47"/>
      <c r="J74" s="48"/>
      <c r="K74" s="48"/>
      <c r="L74" s="48"/>
      <c r="M74" s="48">
        <v>14</v>
      </c>
      <c r="N74" s="48"/>
      <c r="O74" s="48"/>
      <c r="P74" s="47">
        <v>5</v>
      </c>
      <c r="Q74" s="47"/>
      <c r="R74" s="47">
        <v>3</v>
      </c>
      <c r="S74" s="47"/>
      <c r="T74" s="47"/>
      <c r="U74" s="47"/>
      <c r="V74" s="48"/>
      <c r="W74" s="48"/>
      <c r="X74" s="48"/>
      <c r="Y74" s="48"/>
      <c r="Z74" s="48"/>
      <c r="AA74" s="48"/>
      <c r="AB74" s="47"/>
      <c r="AC74" s="47"/>
      <c r="AD74" s="47"/>
      <c r="AE74" s="47"/>
      <c r="AF74" s="47"/>
      <c r="AG74" s="47"/>
      <c r="AH74" s="48"/>
      <c r="AI74" s="48"/>
      <c r="AJ74" s="48"/>
      <c r="AK74" s="48"/>
      <c r="AL74" s="48"/>
      <c r="AM74" s="48"/>
      <c r="AN74" s="50"/>
      <c r="AO74" s="51">
        <f t="shared" si="8"/>
        <v>22</v>
      </c>
      <c r="AP74" s="300">
        <f t="shared" si="9"/>
        <v>22</v>
      </c>
    </row>
    <row r="75" spans="1:43" ht="21" x14ac:dyDescent="0.35">
      <c r="A75" s="78">
        <v>6</v>
      </c>
      <c r="B75" s="316" t="s">
        <v>411</v>
      </c>
      <c r="C75" s="89" t="s">
        <v>123</v>
      </c>
      <c r="D75" s="52">
        <v>1</v>
      </c>
      <c r="E75" s="57"/>
      <c r="F75" s="57">
        <v>1</v>
      </c>
      <c r="G75" s="57"/>
      <c r="H75" s="57"/>
      <c r="I75" s="57"/>
      <c r="J75" s="55"/>
      <c r="K75" s="55"/>
      <c r="L75" s="55"/>
      <c r="M75" s="55">
        <v>16</v>
      </c>
      <c r="N75" s="55"/>
      <c r="O75" s="55"/>
      <c r="P75" s="57">
        <v>10</v>
      </c>
      <c r="Q75" s="57"/>
      <c r="R75" s="57">
        <v>3</v>
      </c>
      <c r="S75" s="57"/>
      <c r="T75" s="57"/>
      <c r="U75" s="57"/>
      <c r="V75" s="55"/>
      <c r="W75" s="55"/>
      <c r="X75" s="55">
        <v>1</v>
      </c>
      <c r="Y75" s="55"/>
      <c r="Z75" s="55"/>
      <c r="AA75" s="55"/>
      <c r="AB75" s="57"/>
      <c r="AC75" s="57"/>
      <c r="AD75" s="57"/>
      <c r="AE75" s="57"/>
      <c r="AF75" s="57"/>
      <c r="AG75" s="57"/>
      <c r="AH75" s="55"/>
      <c r="AI75" s="55"/>
      <c r="AJ75" s="55"/>
      <c r="AK75" s="55"/>
      <c r="AL75" s="55"/>
      <c r="AM75" s="55"/>
      <c r="AN75" s="60">
        <v>0</v>
      </c>
      <c r="AO75" s="61">
        <f t="shared" si="8"/>
        <v>32</v>
      </c>
      <c r="AP75" s="300">
        <f t="shared" si="9"/>
        <v>32</v>
      </c>
      <c r="AQ75" s="17"/>
    </row>
    <row r="76" spans="1:43" ht="21" x14ac:dyDescent="0.35">
      <c r="A76" s="78">
        <v>7</v>
      </c>
      <c r="B76" s="316" t="s">
        <v>411</v>
      </c>
      <c r="C76" s="89" t="s">
        <v>124</v>
      </c>
      <c r="D76" s="46"/>
      <c r="E76" s="47"/>
      <c r="F76" s="47"/>
      <c r="G76" s="47"/>
      <c r="H76" s="47"/>
      <c r="I76" s="47"/>
      <c r="J76" s="48"/>
      <c r="K76" s="48"/>
      <c r="L76" s="48"/>
      <c r="M76" s="48">
        <v>1</v>
      </c>
      <c r="N76" s="48"/>
      <c r="O76" s="48"/>
      <c r="P76" s="47">
        <v>3</v>
      </c>
      <c r="Q76" s="47"/>
      <c r="R76" s="47"/>
      <c r="S76" s="47"/>
      <c r="T76" s="47"/>
      <c r="U76" s="47"/>
      <c r="V76" s="48"/>
      <c r="W76" s="48"/>
      <c r="X76" s="48"/>
      <c r="Y76" s="48"/>
      <c r="Z76" s="48"/>
      <c r="AA76" s="48"/>
      <c r="AB76" s="47"/>
      <c r="AC76" s="47"/>
      <c r="AD76" s="47"/>
      <c r="AE76" s="47"/>
      <c r="AF76" s="47"/>
      <c r="AG76" s="47"/>
      <c r="AH76" s="48"/>
      <c r="AI76" s="48"/>
      <c r="AJ76" s="48"/>
      <c r="AK76" s="48"/>
      <c r="AL76" s="48"/>
      <c r="AM76" s="48"/>
      <c r="AN76" s="50"/>
      <c r="AO76" s="51">
        <f t="shared" si="8"/>
        <v>4</v>
      </c>
      <c r="AP76" s="300">
        <f t="shared" si="9"/>
        <v>4</v>
      </c>
    </row>
    <row r="77" spans="1:43" ht="21" x14ac:dyDescent="0.35">
      <c r="A77" s="78">
        <v>8</v>
      </c>
      <c r="B77" s="316" t="s">
        <v>411</v>
      </c>
      <c r="C77" s="89" t="s">
        <v>125</v>
      </c>
      <c r="D77" s="46"/>
      <c r="E77" s="47"/>
      <c r="F77" s="47"/>
      <c r="G77" s="47"/>
      <c r="H77" s="47"/>
      <c r="I77" s="47"/>
      <c r="J77" s="48"/>
      <c r="K77" s="48"/>
      <c r="L77" s="48"/>
      <c r="M77" s="48">
        <v>3</v>
      </c>
      <c r="N77" s="48"/>
      <c r="O77" s="48"/>
      <c r="P77" s="47"/>
      <c r="Q77" s="47"/>
      <c r="R77" s="47"/>
      <c r="S77" s="47"/>
      <c r="T77" s="47"/>
      <c r="U77" s="47"/>
      <c r="V77" s="48"/>
      <c r="W77" s="48"/>
      <c r="X77" s="48"/>
      <c r="Y77" s="48"/>
      <c r="Z77" s="48"/>
      <c r="AA77" s="48"/>
      <c r="AB77" s="47"/>
      <c r="AC77" s="47"/>
      <c r="AD77" s="47"/>
      <c r="AE77" s="47"/>
      <c r="AF77" s="47"/>
      <c r="AG77" s="47"/>
      <c r="AH77" s="48"/>
      <c r="AI77" s="48"/>
      <c r="AJ77" s="48"/>
      <c r="AK77" s="48"/>
      <c r="AL77" s="48"/>
      <c r="AM77" s="48"/>
      <c r="AN77" s="50"/>
      <c r="AO77" s="51">
        <f t="shared" si="8"/>
        <v>3</v>
      </c>
      <c r="AP77" s="300">
        <f t="shared" si="9"/>
        <v>3</v>
      </c>
    </row>
    <row r="78" spans="1:43" ht="21" x14ac:dyDescent="0.35">
      <c r="A78" s="78">
        <v>9</v>
      </c>
      <c r="B78" s="316" t="s">
        <v>411</v>
      </c>
      <c r="C78" s="89" t="s">
        <v>126</v>
      </c>
      <c r="D78" s="46"/>
      <c r="E78" s="47"/>
      <c r="F78" s="47"/>
      <c r="G78" s="47"/>
      <c r="H78" s="47"/>
      <c r="I78" s="47"/>
      <c r="J78" s="48"/>
      <c r="K78" s="48"/>
      <c r="L78" s="48"/>
      <c r="M78" s="48"/>
      <c r="N78" s="48"/>
      <c r="O78" s="48"/>
      <c r="P78" s="47">
        <v>2</v>
      </c>
      <c r="Q78" s="47"/>
      <c r="R78" s="47"/>
      <c r="S78" s="47"/>
      <c r="T78" s="47"/>
      <c r="U78" s="47"/>
      <c r="V78" s="48"/>
      <c r="W78" s="48"/>
      <c r="X78" s="48"/>
      <c r="Y78" s="48"/>
      <c r="Z78" s="48"/>
      <c r="AA78" s="48"/>
      <c r="AB78" s="47"/>
      <c r="AC78" s="47"/>
      <c r="AD78" s="47"/>
      <c r="AE78" s="47"/>
      <c r="AF78" s="47"/>
      <c r="AG78" s="47">
        <v>1</v>
      </c>
      <c r="AH78" s="48"/>
      <c r="AI78" s="48"/>
      <c r="AJ78" s="48"/>
      <c r="AK78" s="48"/>
      <c r="AL78" s="48"/>
      <c r="AM78" s="48"/>
      <c r="AN78" s="50"/>
      <c r="AO78" s="51">
        <f t="shared" si="8"/>
        <v>3</v>
      </c>
      <c r="AP78" s="300">
        <f t="shared" si="9"/>
        <v>3</v>
      </c>
    </row>
    <row r="79" spans="1:43" ht="21" x14ac:dyDescent="0.35">
      <c r="A79" s="90">
        <v>10</v>
      </c>
      <c r="B79" s="316" t="s">
        <v>411</v>
      </c>
      <c r="C79" s="89" t="s">
        <v>127</v>
      </c>
      <c r="D79" s="46"/>
      <c r="E79" s="47">
        <v>2</v>
      </c>
      <c r="F79" s="47"/>
      <c r="G79" s="47"/>
      <c r="H79" s="47"/>
      <c r="I79" s="47"/>
      <c r="J79" s="48"/>
      <c r="K79" s="48">
        <v>1</v>
      </c>
      <c r="L79" s="48"/>
      <c r="M79" s="48">
        <v>3</v>
      </c>
      <c r="N79" s="48"/>
      <c r="O79" s="48"/>
      <c r="P79" s="47"/>
      <c r="Q79" s="47"/>
      <c r="R79" s="47"/>
      <c r="S79" s="47"/>
      <c r="T79" s="47"/>
      <c r="U79" s="47"/>
      <c r="V79" s="48"/>
      <c r="W79" s="48"/>
      <c r="X79" s="48"/>
      <c r="Y79" s="48"/>
      <c r="Z79" s="48"/>
      <c r="AA79" s="48"/>
      <c r="AB79" s="47"/>
      <c r="AC79" s="47"/>
      <c r="AD79" s="47"/>
      <c r="AE79" s="47"/>
      <c r="AF79" s="47"/>
      <c r="AG79" s="47"/>
      <c r="AH79" s="48"/>
      <c r="AI79" s="48"/>
      <c r="AJ79" s="48"/>
      <c r="AK79" s="48"/>
      <c r="AL79" s="48"/>
      <c r="AM79" s="48"/>
      <c r="AN79" s="50"/>
      <c r="AO79" s="51">
        <f t="shared" si="8"/>
        <v>6</v>
      </c>
      <c r="AP79" s="300">
        <f t="shared" si="9"/>
        <v>6</v>
      </c>
    </row>
    <row r="80" spans="1:43" ht="21" x14ac:dyDescent="0.35">
      <c r="A80" s="78">
        <v>1</v>
      </c>
      <c r="B80" s="316" t="s">
        <v>691</v>
      </c>
      <c r="C80" s="89" t="s">
        <v>128</v>
      </c>
      <c r="D80" s="46">
        <v>16</v>
      </c>
      <c r="E80" s="47"/>
      <c r="F80" s="47">
        <v>5</v>
      </c>
      <c r="G80" s="47"/>
      <c r="H80" s="47">
        <v>1</v>
      </c>
      <c r="I80" s="47">
        <v>9</v>
      </c>
      <c r="J80" s="48"/>
      <c r="K80" s="48">
        <v>5</v>
      </c>
      <c r="L80" s="48">
        <v>10</v>
      </c>
      <c r="M80" s="48">
        <v>65</v>
      </c>
      <c r="N80" s="48">
        <v>1</v>
      </c>
      <c r="O80" s="48">
        <v>2</v>
      </c>
      <c r="P80" s="47">
        <v>203</v>
      </c>
      <c r="Q80" s="47"/>
      <c r="R80" s="47">
        <v>50</v>
      </c>
      <c r="S80" s="47"/>
      <c r="T80" s="47">
        <v>2</v>
      </c>
      <c r="U80" s="47"/>
      <c r="V80" s="48"/>
      <c r="W80" s="48"/>
      <c r="X80" s="48">
        <v>7</v>
      </c>
      <c r="Y80" s="48"/>
      <c r="Z80" s="48">
        <v>1</v>
      </c>
      <c r="AA80" s="48"/>
      <c r="AB80" s="47">
        <v>1</v>
      </c>
      <c r="AC80" s="47"/>
      <c r="AD80" s="47"/>
      <c r="AE80" s="47">
        <v>1</v>
      </c>
      <c r="AF80" s="47"/>
      <c r="AG80" s="47">
        <v>1</v>
      </c>
      <c r="AH80" s="48">
        <v>1</v>
      </c>
      <c r="AI80" s="48"/>
      <c r="AJ80" s="48"/>
      <c r="AK80" s="48"/>
      <c r="AL80" s="48"/>
      <c r="AM80" s="48"/>
      <c r="AN80" s="50"/>
      <c r="AO80" s="51">
        <f>SUM(D80:AN80)</f>
        <v>381</v>
      </c>
      <c r="AP80" s="300">
        <f>D80+E80+F80+G80+H80+I80+J80+K80+L80+M80+N80+O80+P80+Q80+R80+S80+T80+U80+V80+W80+X80+Y80+Z80+AA80+AB80+AC80+AD80+AE80+AF80+AG80+AH80+AI80+AJ80+AK80+AL80+AM80+AN80</f>
        <v>381</v>
      </c>
    </row>
    <row r="81" spans="1:42" ht="21" x14ac:dyDescent="0.35">
      <c r="A81" s="78">
        <v>2</v>
      </c>
      <c r="B81" s="316" t="s">
        <v>691</v>
      </c>
      <c r="C81" s="89" t="s">
        <v>129</v>
      </c>
      <c r="D81" s="46">
        <v>26</v>
      </c>
      <c r="E81" s="47"/>
      <c r="F81" s="47">
        <v>3</v>
      </c>
      <c r="G81" s="47"/>
      <c r="H81" s="47"/>
      <c r="I81" s="47">
        <v>1</v>
      </c>
      <c r="J81" s="48"/>
      <c r="K81" s="48">
        <v>10</v>
      </c>
      <c r="L81" s="48">
        <v>3</v>
      </c>
      <c r="M81" s="48">
        <v>94</v>
      </c>
      <c r="N81" s="48">
        <v>3</v>
      </c>
      <c r="O81" s="48">
        <v>2</v>
      </c>
      <c r="P81" s="47">
        <v>196</v>
      </c>
      <c r="Q81" s="47"/>
      <c r="R81" s="47">
        <v>28</v>
      </c>
      <c r="S81" s="47"/>
      <c r="T81" s="47">
        <v>1</v>
      </c>
      <c r="U81" s="47"/>
      <c r="V81" s="48"/>
      <c r="W81" s="48"/>
      <c r="X81" s="48">
        <v>4</v>
      </c>
      <c r="Y81" s="48">
        <v>1</v>
      </c>
      <c r="Z81" s="48"/>
      <c r="AA81" s="48"/>
      <c r="AB81" s="47"/>
      <c r="AC81" s="47"/>
      <c r="AD81" s="47">
        <v>1</v>
      </c>
      <c r="AE81" s="47">
        <v>2</v>
      </c>
      <c r="AF81" s="47">
        <v>5</v>
      </c>
      <c r="AG81" s="47">
        <v>3</v>
      </c>
      <c r="AH81" s="48">
        <v>3</v>
      </c>
      <c r="AI81" s="48">
        <v>1</v>
      </c>
      <c r="AJ81" s="48"/>
      <c r="AK81" s="48"/>
      <c r="AL81" s="48"/>
      <c r="AM81" s="48"/>
      <c r="AN81" s="50">
        <v>2</v>
      </c>
      <c r="AO81" s="51" t="s">
        <v>73</v>
      </c>
      <c r="AP81" s="300">
        <f t="shared" ref="AP81:AP98" si="10">D81+E81+F81+G81+H81+I81+J81+K81+L81+M81+N81+O81+P81+Q81+R81+S81+T81+U81+V81+W81+X81+Y81+Z81+AA81+AB81+AC81+AD81+AE81+AF81+AG81+AH81+AI81+AJ81+AK81+AL81+AM81+AN81</f>
        <v>389</v>
      </c>
    </row>
    <row r="82" spans="1:42" ht="21" x14ac:dyDescent="0.25">
      <c r="A82" s="78">
        <v>3</v>
      </c>
      <c r="B82" s="316" t="s">
        <v>691</v>
      </c>
      <c r="C82" s="89" t="s">
        <v>130</v>
      </c>
      <c r="D82" s="63">
        <v>26</v>
      </c>
      <c r="E82" s="64"/>
      <c r="F82" s="64">
        <v>4</v>
      </c>
      <c r="G82" s="64"/>
      <c r="H82" s="64">
        <v>2</v>
      </c>
      <c r="I82" s="64">
        <v>7</v>
      </c>
      <c r="J82" s="66"/>
      <c r="K82" s="66">
        <v>3</v>
      </c>
      <c r="L82" s="66">
        <v>13</v>
      </c>
      <c r="M82" s="66">
        <v>58</v>
      </c>
      <c r="N82" s="66">
        <v>2</v>
      </c>
      <c r="O82" s="66"/>
      <c r="P82" s="64">
        <v>140</v>
      </c>
      <c r="Q82" s="64"/>
      <c r="R82" s="64">
        <v>34</v>
      </c>
      <c r="S82" s="64"/>
      <c r="T82" s="64"/>
      <c r="U82" s="64"/>
      <c r="V82" s="66"/>
      <c r="W82" s="66"/>
      <c r="X82" s="66">
        <v>1</v>
      </c>
      <c r="Y82" s="66">
        <v>1</v>
      </c>
      <c r="Z82" s="66"/>
      <c r="AA82" s="66"/>
      <c r="AB82" s="64"/>
      <c r="AC82" s="64"/>
      <c r="AD82" s="64"/>
      <c r="AE82" s="64">
        <v>3</v>
      </c>
      <c r="AF82" s="64"/>
      <c r="AG82" s="64"/>
      <c r="AH82" s="66"/>
      <c r="AI82" s="66"/>
      <c r="AJ82" s="66"/>
      <c r="AK82" s="66"/>
      <c r="AL82" s="66"/>
      <c r="AM82" s="66"/>
      <c r="AN82" s="68">
        <v>1</v>
      </c>
      <c r="AO82" s="51" t="s">
        <v>73</v>
      </c>
      <c r="AP82" s="300">
        <f t="shared" si="10"/>
        <v>295</v>
      </c>
    </row>
    <row r="83" spans="1:42" ht="21" x14ac:dyDescent="0.35">
      <c r="A83" s="78">
        <v>4</v>
      </c>
      <c r="B83" s="316" t="s">
        <v>691</v>
      </c>
      <c r="C83" s="89" t="s">
        <v>131</v>
      </c>
      <c r="D83" s="52">
        <v>27</v>
      </c>
      <c r="E83" s="57">
        <v>3</v>
      </c>
      <c r="F83" s="58">
        <v>11</v>
      </c>
      <c r="G83" s="57"/>
      <c r="H83" s="57">
        <v>1</v>
      </c>
      <c r="I83" s="57">
        <v>8</v>
      </c>
      <c r="J83" s="55"/>
      <c r="K83" s="55">
        <v>14</v>
      </c>
      <c r="L83" s="59">
        <v>9</v>
      </c>
      <c r="M83" s="55">
        <v>134</v>
      </c>
      <c r="N83" s="55">
        <v>15</v>
      </c>
      <c r="O83" s="55">
        <v>1</v>
      </c>
      <c r="P83" s="57">
        <v>222</v>
      </c>
      <c r="Q83" s="57"/>
      <c r="R83" s="57">
        <v>39</v>
      </c>
      <c r="S83" s="57"/>
      <c r="T83" s="57"/>
      <c r="U83" s="57"/>
      <c r="V83" s="55"/>
      <c r="W83" s="55"/>
      <c r="X83" s="55">
        <v>11</v>
      </c>
      <c r="Y83" s="55"/>
      <c r="Z83" s="55"/>
      <c r="AA83" s="55"/>
      <c r="AB83" s="57"/>
      <c r="AC83" s="57">
        <v>3</v>
      </c>
      <c r="AD83" s="57"/>
      <c r="AE83" s="57">
        <v>11</v>
      </c>
      <c r="AF83" s="57">
        <v>1</v>
      </c>
      <c r="AG83" s="57">
        <v>4</v>
      </c>
      <c r="AH83" s="55">
        <v>5</v>
      </c>
      <c r="AI83" s="55"/>
      <c r="AJ83" s="55"/>
      <c r="AK83" s="55"/>
      <c r="AL83" s="55"/>
      <c r="AM83" s="55"/>
      <c r="AN83" s="60"/>
      <c r="AO83" s="51">
        <f>SUM(D83:AN83)</f>
        <v>519</v>
      </c>
      <c r="AP83" s="300">
        <f t="shared" si="10"/>
        <v>519</v>
      </c>
    </row>
    <row r="84" spans="1:42" ht="21" x14ac:dyDescent="0.35">
      <c r="A84" s="78">
        <v>5</v>
      </c>
      <c r="B84" s="316" t="s">
        <v>691</v>
      </c>
      <c r="C84" s="89" t="s">
        <v>132</v>
      </c>
      <c r="D84" s="52">
        <v>123</v>
      </c>
      <c r="E84" s="57">
        <v>4</v>
      </c>
      <c r="F84" s="57">
        <v>8</v>
      </c>
      <c r="G84" s="57"/>
      <c r="H84" s="57">
        <v>1</v>
      </c>
      <c r="I84" s="57">
        <v>2</v>
      </c>
      <c r="J84" s="55"/>
      <c r="K84" s="55">
        <v>10</v>
      </c>
      <c r="L84" s="55">
        <v>7</v>
      </c>
      <c r="M84" s="55">
        <v>232</v>
      </c>
      <c r="N84" s="55">
        <v>5</v>
      </c>
      <c r="O84" s="55">
        <v>1</v>
      </c>
      <c r="P84" s="57">
        <v>254</v>
      </c>
      <c r="Q84" s="57"/>
      <c r="R84" s="57">
        <v>38</v>
      </c>
      <c r="S84" s="57"/>
      <c r="T84" s="57"/>
      <c r="U84" s="57"/>
      <c r="V84" s="55"/>
      <c r="W84" s="55"/>
      <c r="X84" s="55">
        <v>1</v>
      </c>
      <c r="Y84" s="55"/>
      <c r="Z84" s="55"/>
      <c r="AA84" s="55">
        <v>1</v>
      </c>
      <c r="AB84" s="57"/>
      <c r="AC84" s="57"/>
      <c r="AD84" s="57">
        <v>2</v>
      </c>
      <c r="AE84" s="57">
        <v>2</v>
      </c>
      <c r="AF84" s="57"/>
      <c r="AG84" s="57">
        <v>1</v>
      </c>
      <c r="AH84" s="55">
        <v>1</v>
      </c>
      <c r="AI84" s="55"/>
      <c r="AJ84" s="55"/>
      <c r="AK84" s="55"/>
      <c r="AL84" s="55"/>
      <c r="AM84" s="55"/>
      <c r="AN84" s="60"/>
      <c r="AO84" s="51">
        <f>SUM(D84:AN84)</f>
        <v>693</v>
      </c>
      <c r="AP84" s="300">
        <f t="shared" si="10"/>
        <v>693</v>
      </c>
    </row>
    <row r="85" spans="1:42" ht="21" x14ac:dyDescent="0.35">
      <c r="A85" s="78">
        <v>6</v>
      </c>
      <c r="B85" s="316" t="s">
        <v>691</v>
      </c>
      <c r="C85" s="89" t="s">
        <v>133</v>
      </c>
      <c r="D85" s="46">
        <v>25</v>
      </c>
      <c r="E85" s="47">
        <v>3</v>
      </c>
      <c r="F85" s="47">
        <v>4</v>
      </c>
      <c r="G85" s="47"/>
      <c r="H85" s="47">
        <v>4</v>
      </c>
      <c r="I85" s="47">
        <v>19</v>
      </c>
      <c r="J85" s="48"/>
      <c r="K85" s="48">
        <v>5</v>
      </c>
      <c r="L85" s="48">
        <v>16</v>
      </c>
      <c r="M85" s="48">
        <v>184</v>
      </c>
      <c r="N85" s="48">
        <v>3</v>
      </c>
      <c r="O85" s="48"/>
      <c r="P85" s="47">
        <v>213</v>
      </c>
      <c r="Q85" s="47"/>
      <c r="R85" s="47">
        <v>51</v>
      </c>
      <c r="S85" s="47"/>
      <c r="T85" s="47">
        <v>2</v>
      </c>
      <c r="U85" s="47">
        <v>4</v>
      </c>
      <c r="V85" s="48"/>
      <c r="W85" s="48"/>
      <c r="X85" s="48">
        <v>11</v>
      </c>
      <c r="Y85" s="48">
        <v>1</v>
      </c>
      <c r="Z85" s="48">
        <v>1</v>
      </c>
      <c r="AA85" s="48"/>
      <c r="AB85" s="47">
        <v>1</v>
      </c>
      <c r="AC85" s="47">
        <v>4</v>
      </c>
      <c r="AD85" s="47"/>
      <c r="AE85" s="47">
        <v>4</v>
      </c>
      <c r="AF85" s="47"/>
      <c r="AG85" s="47">
        <v>3</v>
      </c>
      <c r="AH85" s="48">
        <v>1</v>
      </c>
      <c r="AI85" s="48">
        <v>1</v>
      </c>
      <c r="AJ85" s="48"/>
      <c r="AK85" s="48"/>
      <c r="AL85" s="48"/>
      <c r="AM85" s="48">
        <v>1</v>
      </c>
      <c r="AN85" s="50">
        <v>1</v>
      </c>
      <c r="AO85" s="51" t="s">
        <v>134</v>
      </c>
      <c r="AP85" s="300">
        <f t="shared" si="10"/>
        <v>562</v>
      </c>
    </row>
    <row r="86" spans="1:42" ht="21" x14ac:dyDescent="0.35">
      <c r="A86" s="78">
        <v>7</v>
      </c>
      <c r="B86" s="316" t="s">
        <v>691</v>
      </c>
      <c r="C86" s="89" t="s">
        <v>135</v>
      </c>
      <c r="D86" s="52">
        <v>4</v>
      </c>
      <c r="E86" s="57">
        <v>3</v>
      </c>
      <c r="F86" s="57">
        <v>4</v>
      </c>
      <c r="G86" s="57"/>
      <c r="H86" s="57">
        <v>4</v>
      </c>
      <c r="I86" s="57">
        <v>19</v>
      </c>
      <c r="J86" s="55"/>
      <c r="K86" s="55">
        <v>5</v>
      </c>
      <c r="L86" s="55">
        <v>16</v>
      </c>
      <c r="M86" s="55">
        <v>184</v>
      </c>
      <c r="N86" s="55">
        <v>3</v>
      </c>
      <c r="O86" s="55"/>
      <c r="P86" s="57">
        <v>213</v>
      </c>
      <c r="Q86" s="57"/>
      <c r="R86" s="57">
        <v>51</v>
      </c>
      <c r="S86" s="57"/>
      <c r="T86" s="57">
        <v>2</v>
      </c>
      <c r="U86" s="57">
        <v>4</v>
      </c>
      <c r="V86" s="55"/>
      <c r="W86" s="55"/>
      <c r="X86" s="55">
        <v>11</v>
      </c>
      <c r="Y86" s="55">
        <v>1</v>
      </c>
      <c r="Z86" s="55">
        <v>1</v>
      </c>
      <c r="AA86" s="55"/>
      <c r="AB86" s="57">
        <v>1</v>
      </c>
      <c r="AC86" s="57">
        <v>4</v>
      </c>
      <c r="AD86" s="57"/>
      <c r="AE86" s="57">
        <v>4</v>
      </c>
      <c r="AF86" s="57"/>
      <c r="AG86" s="57">
        <v>3</v>
      </c>
      <c r="AH86" s="55">
        <v>1</v>
      </c>
      <c r="AI86" s="55">
        <v>1</v>
      </c>
      <c r="AJ86" s="55"/>
      <c r="AK86" s="55"/>
      <c r="AL86" s="55"/>
      <c r="AM86" s="55">
        <v>1</v>
      </c>
      <c r="AN86" s="60"/>
      <c r="AO86" s="51" t="s">
        <v>73</v>
      </c>
      <c r="AP86" s="300">
        <f t="shared" si="10"/>
        <v>540</v>
      </c>
    </row>
    <row r="87" spans="1:42" ht="21" x14ac:dyDescent="0.35">
      <c r="A87" s="78">
        <v>8</v>
      </c>
      <c r="B87" s="316" t="s">
        <v>691</v>
      </c>
      <c r="C87" s="89" t="s">
        <v>136</v>
      </c>
      <c r="D87" s="46">
        <v>32</v>
      </c>
      <c r="E87" s="47">
        <v>1</v>
      </c>
      <c r="F87" s="47">
        <v>27</v>
      </c>
      <c r="G87" s="47">
        <v>1</v>
      </c>
      <c r="H87" s="47">
        <v>3</v>
      </c>
      <c r="I87" s="47">
        <v>8</v>
      </c>
      <c r="J87" s="48"/>
      <c r="K87" s="48">
        <v>14</v>
      </c>
      <c r="L87" s="48">
        <v>11</v>
      </c>
      <c r="M87" s="48">
        <v>108</v>
      </c>
      <c r="N87" s="48">
        <v>5</v>
      </c>
      <c r="O87" s="48">
        <v>2</v>
      </c>
      <c r="P87" s="47">
        <v>254</v>
      </c>
      <c r="Q87" s="47"/>
      <c r="R87" s="47">
        <v>56</v>
      </c>
      <c r="S87" s="47"/>
      <c r="T87" s="47"/>
      <c r="U87" s="47"/>
      <c r="V87" s="48"/>
      <c r="W87" s="48"/>
      <c r="X87" s="48">
        <v>10</v>
      </c>
      <c r="Y87" s="48"/>
      <c r="Z87" s="48"/>
      <c r="AA87" s="48"/>
      <c r="AB87" s="47"/>
      <c r="AC87" s="47"/>
      <c r="AD87" s="47"/>
      <c r="AE87" s="47"/>
      <c r="AF87" s="47">
        <v>1</v>
      </c>
      <c r="AG87" s="47">
        <v>1</v>
      </c>
      <c r="AH87" s="48">
        <v>2</v>
      </c>
      <c r="AI87" s="48"/>
      <c r="AJ87" s="48"/>
      <c r="AK87" s="48"/>
      <c r="AL87" s="48"/>
      <c r="AM87" s="48"/>
      <c r="AN87" s="50">
        <v>1</v>
      </c>
      <c r="AO87" s="51" t="s">
        <v>137</v>
      </c>
      <c r="AP87" s="300">
        <f t="shared" si="10"/>
        <v>537</v>
      </c>
    </row>
    <row r="88" spans="1:42" ht="21" x14ac:dyDescent="0.35">
      <c r="A88" s="78">
        <v>9</v>
      </c>
      <c r="B88" s="316" t="s">
        <v>691</v>
      </c>
      <c r="C88" s="89" t="s">
        <v>138</v>
      </c>
      <c r="D88" s="69">
        <v>1</v>
      </c>
      <c r="E88" s="53"/>
      <c r="F88" s="53">
        <v>2</v>
      </c>
      <c r="G88" s="53"/>
      <c r="H88" s="53">
        <v>1</v>
      </c>
      <c r="I88" s="53">
        <v>7</v>
      </c>
      <c r="J88" s="54"/>
      <c r="K88" s="54">
        <v>4</v>
      </c>
      <c r="L88" s="54">
        <v>2</v>
      </c>
      <c r="M88" s="54">
        <v>71</v>
      </c>
      <c r="N88" s="54">
        <v>3</v>
      </c>
      <c r="O88" s="54"/>
      <c r="P88" s="53">
        <v>60</v>
      </c>
      <c r="Q88" s="53"/>
      <c r="R88" s="53">
        <v>7</v>
      </c>
      <c r="S88" s="53"/>
      <c r="T88" s="53"/>
      <c r="U88" s="53"/>
      <c r="V88" s="54"/>
      <c r="W88" s="54"/>
      <c r="X88" s="54">
        <v>2</v>
      </c>
      <c r="Y88" s="54"/>
      <c r="Z88" s="54"/>
      <c r="AA88" s="54"/>
      <c r="AB88" s="53"/>
      <c r="AC88" s="53"/>
      <c r="AD88" s="53"/>
      <c r="AE88" s="53">
        <v>7</v>
      </c>
      <c r="AF88" s="53"/>
      <c r="AG88" s="53">
        <v>1</v>
      </c>
      <c r="AH88" s="54">
        <v>1</v>
      </c>
      <c r="AI88" s="54"/>
      <c r="AJ88" s="54"/>
      <c r="AK88" s="54"/>
      <c r="AL88" s="54"/>
      <c r="AM88" s="54"/>
      <c r="AN88" s="74"/>
      <c r="AO88" s="51">
        <f>SUM(D88:AN88)</f>
        <v>169</v>
      </c>
      <c r="AP88" s="300">
        <f t="shared" si="10"/>
        <v>169</v>
      </c>
    </row>
    <row r="89" spans="1:42" ht="21" x14ac:dyDescent="0.35">
      <c r="A89" s="78">
        <v>10</v>
      </c>
      <c r="B89" s="316" t="s">
        <v>691</v>
      </c>
      <c r="C89" s="89" t="s">
        <v>139</v>
      </c>
      <c r="D89" s="46">
        <v>3</v>
      </c>
      <c r="E89" s="47"/>
      <c r="F89" s="47"/>
      <c r="G89" s="47"/>
      <c r="H89" s="47"/>
      <c r="I89" s="47">
        <v>5</v>
      </c>
      <c r="J89" s="48"/>
      <c r="K89" s="48">
        <v>1</v>
      </c>
      <c r="L89" s="48"/>
      <c r="M89" s="48">
        <v>14</v>
      </c>
      <c r="N89" s="48"/>
      <c r="O89" s="48"/>
      <c r="P89" s="47">
        <v>30</v>
      </c>
      <c r="Q89" s="47"/>
      <c r="R89" s="47">
        <v>5</v>
      </c>
      <c r="S89" s="47"/>
      <c r="T89" s="47"/>
      <c r="U89" s="47"/>
      <c r="V89" s="48"/>
      <c r="W89" s="48"/>
      <c r="X89" s="48">
        <v>1</v>
      </c>
      <c r="Y89" s="48"/>
      <c r="Z89" s="48"/>
      <c r="AA89" s="48"/>
      <c r="AB89" s="47"/>
      <c r="AC89" s="47"/>
      <c r="AD89" s="47"/>
      <c r="AE89" s="47"/>
      <c r="AF89" s="47"/>
      <c r="AG89" s="47"/>
      <c r="AH89" s="48"/>
      <c r="AI89" s="48"/>
      <c r="AJ89" s="48"/>
      <c r="AK89" s="48"/>
      <c r="AL89" s="48"/>
      <c r="AM89" s="48"/>
      <c r="AN89" s="50">
        <v>2</v>
      </c>
      <c r="AO89" s="51" t="s">
        <v>73</v>
      </c>
      <c r="AP89" s="300">
        <f t="shared" si="10"/>
        <v>61</v>
      </c>
    </row>
    <row r="90" spans="1:42" ht="21" x14ac:dyDescent="0.35">
      <c r="A90" s="78">
        <v>11</v>
      </c>
      <c r="B90" s="316" t="s">
        <v>691</v>
      </c>
      <c r="C90" s="89" t="s">
        <v>140</v>
      </c>
      <c r="D90" s="52">
        <v>7</v>
      </c>
      <c r="E90" s="57"/>
      <c r="F90" s="58"/>
      <c r="G90" s="57"/>
      <c r="H90" s="57"/>
      <c r="I90" s="57">
        <v>4</v>
      </c>
      <c r="J90" s="55"/>
      <c r="K90" s="55">
        <v>5</v>
      </c>
      <c r="L90" s="59">
        <v>3</v>
      </c>
      <c r="M90" s="55">
        <v>83</v>
      </c>
      <c r="N90" s="55"/>
      <c r="O90" s="55"/>
      <c r="P90" s="57">
        <v>137</v>
      </c>
      <c r="Q90" s="57"/>
      <c r="R90" s="57">
        <v>32</v>
      </c>
      <c r="S90" s="57"/>
      <c r="T90" s="57"/>
      <c r="U90" s="57">
        <v>1</v>
      </c>
      <c r="V90" s="55"/>
      <c r="W90" s="55"/>
      <c r="X90" s="55">
        <v>2</v>
      </c>
      <c r="Y90" s="55"/>
      <c r="Z90" s="55"/>
      <c r="AA90" s="55"/>
      <c r="AB90" s="57"/>
      <c r="AC90" s="57"/>
      <c r="AD90" s="57"/>
      <c r="AE90" s="57">
        <v>4</v>
      </c>
      <c r="AF90" s="57">
        <v>1</v>
      </c>
      <c r="AG90" s="57">
        <v>1</v>
      </c>
      <c r="AH90" s="55">
        <v>4</v>
      </c>
      <c r="AI90" s="55"/>
      <c r="AJ90" s="55"/>
      <c r="AK90" s="55"/>
      <c r="AL90" s="55"/>
      <c r="AM90" s="55"/>
      <c r="AN90" s="60"/>
      <c r="AO90" s="51">
        <f t="shared" ref="AO90:AO97" si="11">SUM(D90:AN90)</f>
        <v>284</v>
      </c>
      <c r="AP90" s="300">
        <f t="shared" si="10"/>
        <v>284</v>
      </c>
    </row>
    <row r="91" spans="1:42" ht="21" x14ac:dyDescent="0.35">
      <c r="A91" s="78">
        <v>12</v>
      </c>
      <c r="B91" s="316" t="s">
        <v>691</v>
      </c>
      <c r="C91" s="89" t="s">
        <v>141</v>
      </c>
      <c r="D91" s="46">
        <v>6</v>
      </c>
      <c r="E91" s="47"/>
      <c r="F91" s="47">
        <v>1</v>
      </c>
      <c r="G91" s="64"/>
      <c r="H91" s="64"/>
      <c r="I91" s="64">
        <v>2</v>
      </c>
      <c r="J91" s="48"/>
      <c r="K91" s="48">
        <v>4</v>
      </c>
      <c r="L91" s="48">
        <v>1</v>
      </c>
      <c r="M91" s="66">
        <v>26</v>
      </c>
      <c r="N91" s="66"/>
      <c r="O91" s="66"/>
      <c r="P91" s="47">
        <v>27</v>
      </c>
      <c r="Q91" s="47"/>
      <c r="R91" s="47">
        <v>9</v>
      </c>
      <c r="S91" s="64"/>
      <c r="T91" s="64"/>
      <c r="U91" s="64">
        <v>2</v>
      </c>
      <c r="V91" s="48"/>
      <c r="W91" s="48"/>
      <c r="X91" s="48">
        <v>1</v>
      </c>
      <c r="Y91" s="66"/>
      <c r="Z91" s="66"/>
      <c r="AA91" s="66"/>
      <c r="AB91" s="47">
        <v>2</v>
      </c>
      <c r="AC91" s="47"/>
      <c r="AD91" s="47"/>
      <c r="AE91" s="64">
        <v>1</v>
      </c>
      <c r="AF91" s="64"/>
      <c r="AG91" s="64"/>
      <c r="AH91" s="48"/>
      <c r="AI91" s="48"/>
      <c r="AJ91" s="48"/>
      <c r="AK91" s="66"/>
      <c r="AL91" s="66"/>
      <c r="AM91" s="66"/>
      <c r="AN91" s="68"/>
      <c r="AO91" s="51">
        <f t="shared" si="11"/>
        <v>82</v>
      </c>
      <c r="AP91" s="300">
        <f t="shared" si="10"/>
        <v>82</v>
      </c>
    </row>
    <row r="92" spans="1:42" ht="21" x14ac:dyDescent="0.35">
      <c r="A92" s="78">
        <v>13</v>
      </c>
      <c r="B92" s="316" t="s">
        <v>691</v>
      </c>
      <c r="C92" s="89" t="s">
        <v>142</v>
      </c>
      <c r="D92" s="52">
        <v>10</v>
      </c>
      <c r="E92" s="57">
        <v>5</v>
      </c>
      <c r="F92" s="58">
        <v>7</v>
      </c>
      <c r="G92" s="57"/>
      <c r="H92" s="57"/>
      <c r="I92" s="57">
        <v>6</v>
      </c>
      <c r="J92" s="55"/>
      <c r="K92" s="55">
        <v>5</v>
      </c>
      <c r="L92" s="59">
        <v>3</v>
      </c>
      <c r="M92" s="55">
        <v>52</v>
      </c>
      <c r="N92" s="55">
        <v>1</v>
      </c>
      <c r="O92" s="55"/>
      <c r="P92" s="57">
        <v>61</v>
      </c>
      <c r="Q92" s="57"/>
      <c r="R92" s="57">
        <v>8</v>
      </c>
      <c r="S92" s="57"/>
      <c r="T92" s="57"/>
      <c r="U92" s="57"/>
      <c r="V92" s="55"/>
      <c r="W92" s="55"/>
      <c r="X92" s="55"/>
      <c r="Y92" s="55"/>
      <c r="Z92" s="55"/>
      <c r="AA92" s="55">
        <v>2</v>
      </c>
      <c r="AB92" s="57"/>
      <c r="AC92" s="57"/>
      <c r="AD92" s="57">
        <v>1</v>
      </c>
      <c r="AE92" s="57">
        <v>1</v>
      </c>
      <c r="AF92" s="57"/>
      <c r="AG92" s="57">
        <v>1</v>
      </c>
      <c r="AH92" s="55"/>
      <c r="AI92" s="55"/>
      <c r="AJ92" s="55"/>
      <c r="AK92" s="55"/>
      <c r="AL92" s="55"/>
      <c r="AM92" s="55"/>
      <c r="AN92" s="60"/>
      <c r="AO92" s="51">
        <f t="shared" si="11"/>
        <v>163</v>
      </c>
      <c r="AP92" s="300">
        <f t="shared" si="10"/>
        <v>163</v>
      </c>
    </row>
    <row r="93" spans="1:42" ht="21" x14ac:dyDescent="0.35">
      <c r="A93" s="78">
        <v>14</v>
      </c>
      <c r="B93" s="316" t="s">
        <v>691</v>
      </c>
      <c r="C93" s="89" t="s">
        <v>143</v>
      </c>
      <c r="D93" s="46"/>
      <c r="E93" s="47"/>
      <c r="F93" s="47"/>
      <c r="G93" s="47"/>
      <c r="H93" s="47"/>
      <c r="I93" s="47"/>
      <c r="J93" s="48"/>
      <c r="K93" s="48"/>
      <c r="L93" s="48"/>
      <c r="M93" s="48">
        <v>1</v>
      </c>
      <c r="N93" s="48"/>
      <c r="O93" s="48"/>
      <c r="P93" s="47">
        <v>2</v>
      </c>
      <c r="Q93" s="47"/>
      <c r="R93" s="47"/>
      <c r="S93" s="47"/>
      <c r="T93" s="47"/>
      <c r="U93" s="47"/>
      <c r="V93" s="48"/>
      <c r="W93" s="48"/>
      <c r="X93" s="48"/>
      <c r="Y93" s="48"/>
      <c r="Z93" s="48"/>
      <c r="AA93" s="48"/>
      <c r="AB93" s="47"/>
      <c r="AC93" s="47"/>
      <c r="AD93" s="47"/>
      <c r="AE93" s="47"/>
      <c r="AF93" s="47"/>
      <c r="AG93" s="47"/>
      <c r="AH93" s="48"/>
      <c r="AI93" s="48"/>
      <c r="AJ93" s="48"/>
      <c r="AK93" s="48"/>
      <c r="AL93" s="48"/>
      <c r="AM93" s="48"/>
      <c r="AN93" s="50"/>
      <c r="AO93" s="51">
        <f t="shared" si="11"/>
        <v>3</v>
      </c>
      <c r="AP93" s="300">
        <f t="shared" si="10"/>
        <v>3</v>
      </c>
    </row>
    <row r="94" spans="1:42" ht="21" x14ac:dyDescent="0.35">
      <c r="A94" s="78">
        <v>15</v>
      </c>
      <c r="B94" s="316" t="s">
        <v>691</v>
      </c>
      <c r="C94" s="89" t="s">
        <v>144</v>
      </c>
      <c r="D94" s="46">
        <v>3</v>
      </c>
      <c r="E94" s="47">
        <v>7</v>
      </c>
      <c r="F94" s="47">
        <v>1</v>
      </c>
      <c r="G94" s="47"/>
      <c r="H94" s="47"/>
      <c r="I94" s="47">
        <v>1</v>
      </c>
      <c r="J94" s="48"/>
      <c r="K94" s="48">
        <v>2</v>
      </c>
      <c r="L94" s="48"/>
      <c r="M94" s="48">
        <v>50</v>
      </c>
      <c r="N94" s="48">
        <v>1</v>
      </c>
      <c r="O94" s="48"/>
      <c r="P94" s="47">
        <v>44</v>
      </c>
      <c r="Q94" s="47">
        <v>1</v>
      </c>
      <c r="R94" s="47">
        <v>8</v>
      </c>
      <c r="S94" s="47"/>
      <c r="T94" s="47">
        <v>1</v>
      </c>
      <c r="U94" s="47"/>
      <c r="V94" s="48"/>
      <c r="W94" s="48"/>
      <c r="X94" s="48">
        <v>2</v>
      </c>
      <c r="Y94" s="48"/>
      <c r="Z94" s="48"/>
      <c r="AA94" s="48"/>
      <c r="AB94" s="47"/>
      <c r="AC94" s="47"/>
      <c r="AD94" s="47"/>
      <c r="AE94" s="47">
        <v>2</v>
      </c>
      <c r="AF94" s="47"/>
      <c r="AG94" s="47"/>
      <c r="AH94" s="48">
        <v>2</v>
      </c>
      <c r="AI94" s="48"/>
      <c r="AJ94" s="48"/>
      <c r="AK94" s="48"/>
      <c r="AL94" s="48"/>
      <c r="AM94" s="48"/>
      <c r="AN94" s="50"/>
      <c r="AO94" s="51">
        <f t="shared" si="11"/>
        <v>125</v>
      </c>
      <c r="AP94" s="300">
        <f t="shared" si="10"/>
        <v>125</v>
      </c>
    </row>
    <row r="95" spans="1:42" ht="21" x14ac:dyDescent="0.35">
      <c r="A95" s="78">
        <v>16</v>
      </c>
      <c r="B95" s="316" t="s">
        <v>691</v>
      </c>
      <c r="C95" s="89" t="s">
        <v>145</v>
      </c>
      <c r="D95" s="46">
        <v>3</v>
      </c>
      <c r="E95" s="47"/>
      <c r="F95" s="47"/>
      <c r="G95" s="47"/>
      <c r="H95" s="47"/>
      <c r="I95" s="47">
        <v>9</v>
      </c>
      <c r="J95" s="48"/>
      <c r="K95" s="48">
        <v>4</v>
      </c>
      <c r="L95" s="48"/>
      <c r="M95" s="48">
        <v>21</v>
      </c>
      <c r="N95" s="48"/>
      <c r="O95" s="48"/>
      <c r="P95" s="47">
        <v>34</v>
      </c>
      <c r="Q95" s="47"/>
      <c r="R95" s="47">
        <v>5</v>
      </c>
      <c r="S95" s="47"/>
      <c r="T95" s="47"/>
      <c r="U95" s="47"/>
      <c r="V95" s="48"/>
      <c r="W95" s="48"/>
      <c r="X95" s="48">
        <v>1</v>
      </c>
      <c r="Y95" s="48"/>
      <c r="Z95" s="48"/>
      <c r="AA95" s="48"/>
      <c r="AB95" s="47"/>
      <c r="AC95" s="47"/>
      <c r="AD95" s="47"/>
      <c r="AE95" s="47">
        <v>3</v>
      </c>
      <c r="AF95" s="47"/>
      <c r="AG95" s="47">
        <v>2</v>
      </c>
      <c r="AH95" s="48"/>
      <c r="AI95" s="48"/>
      <c r="AJ95" s="48"/>
      <c r="AK95" s="48"/>
      <c r="AL95" s="48"/>
      <c r="AM95" s="48"/>
      <c r="AN95" s="50"/>
      <c r="AO95" s="51">
        <f t="shared" si="11"/>
        <v>82</v>
      </c>
      <c r="AP95" s="300">
        <f t="shared" si="10"/>
        <v>82</v>
      </c>
    </row>
    <row r="96" spans="1:42" ht="21" x14ac:dyDescent="0.35">
      <c r="A96" s="78">
        <v>17</v>
      </c>
      <c r="B96" s="316" t="s">
        <v>691</v>
      </c>
      <c r="C96" s="89" t="s">
        <v>146</v>
      </c>
      <c r="D96" s="46">
        <v>3</v>
      </c>
      <c r="E96" s="47"/>
      <c r="F96" s="47"/>
      <c r="G96" s="47"/>
      <c r="H96" s="47"/>
      <c r="I96" s="47">
        <v>3</v>
      </c>
      <c r="J96" s="48"/>
      <c r="K96" s="48">
        <v>1</v>
      </c>
      <c r="L96" s="48"/>
      <c r="M96" s="48">
        <v>10</v>
      </c>
      <c r="N96" s="48"/>
      <c r="O96" s="48"/>
      <c r="P96" s="47">
        <v>11</v>
      </c>
      <c r="Q96" s="47"/>
      <c r="R96" s="47">
        <v>1</v>
      </c>
      <c r="S96" s="47"/>
      <c r="T96" s="47"/>
      <c r="U96" s="47"/>
      <c r="V96" s="48"/>
      <c r="W96" s="48"/>
      <c r="X96" s="48"/>
      <c r="Y96" s="48"/>
      <c r="Z96" s="48"/>
      <c r="AA96" s="48"/>
      <c r="AB96" s="47"/>
      <c r="AC96" s="47"/>
      <c r="AD96" s="47"/>
      <c r="AE96" s="47"/>
      <c r="AF96" s="47"/>
      <c r="AG96" s="47"/>
      <c r="AH96" s="48"/>
      <c r="AI96" s="48"/>
      <c r="AJ96" s="48">
        <v>1</v>
      </c>
      <c r="AK96" s="48"/>
      <c r="AL96" s="48"/>
      <c r="AM96" s="48"/>
      <c r="AN96" s="50"/>
      <c r="AO96" s="51">
        <f t="shared" si="11"/>
        <v>30</v>
      </c>
      <c r="AP96" s="300">
        <f t="shared" si="10"/>
        <v>30</v>
      </c>
    </row>
    <row r="97" spans="1:43" ht="21" x14ac:dyDescent="0.35">
      <c r="A97" s="78">
        <v>18</v>
      </c>
      <c r="B97" s="316" t="s">
        <v>691</v>
      </c>
      <c r="C97" s="89" t="s">
        <v>147</v>
      </c>
      <c r="D97" s="46">
        <v>2</v>
      </c>
      <c r="E97" s="47"/>
      <c r="F97" s="47"/>
      <c r="G97" s="47"/>
      <c r="H97" s="47">
        <v>3</v>
      </c>
      <c r="I97" s="47"/>
      <c r="J97" s="48"/>
      <c r="K97" s="48"/>
      <c r="L97" s="48">
        <v>1</v>
      </c>
      <c r="M97" s="48">
        <v>15</v>
      </c>
      <c r="N97" s="48"/>
      <c r="O97" s="48"/>
      <c r="P97" s="47">
        <v>15</v>
      </c>
      <c r="Q97" s="47"/>
      <c r="R97" s="47">
        <v>1</v>
      </c>
      <c r="S97" s="47"/>
      <c r="T97" s="47"/>
      <c r="U97" s="47"/>
      <c r="V97" s="48"/>
      <c r="W97" s="48"/>
      <c r="X97" s="48"/>
      <c r="Y97" s="48"/>
      <c r="Z97" s="48"/>
      <c r="AA97" s="48"/>
      <c r="AB97" s="47"/>
      <c r="AC97" s="47"/>
      <c r="AD97" s="47">
        <v>2</v>
      </c>
      <c r="AE97" s="47"/>
      <c r="AF97" s="47"/>
      <c r="AG97" s="47"/>
      <c r="AH97" s="49"/>
      <c r="AI97" s="49"/>
      <c r="AJ97" s="49"/>
      <c r="AK97" s="49"/>
      <c r="AL97" s="49"/>
      <c r="AM97" s="49"/>
      <c r="AN97" s="91"/>
      <c r="AO97" s="51">
        <f t="shared" si="11"/>
        <v>39</v>
      </c>
      <c r="AP97" s="300">
        <f t="shared" si="10"/>
        <v>39</v>
      </c>
    </row>
    <row r="98" spans="1:43" ht="21" x14ac:dyDescent="0.35">
      <c r="A98" s="78">
        <v>19</v>
      </c>
      <c r="B98" s="316" t="s">
        <v>691</v>
      </c>
      <c r="C98" s="89" t="s">
        <v>148</v>
      </c>
      <c r="D98" s="46">
        <v>32</v>
      </c>
      <c r="E98" s="47">
        <v>6</v>
      </c>
      <c r="F98" s="47">
        <v>14</v>
      </c>
      <c r="G98" s="47"/>
      <c r="H98" s="47"/>
      <c r="I98" s="47">
        <v>6</v>
      </c>
      <c r="J98" s="48"/>
      <c r="K98" s="48">
        <v>7</v>
      </c>
      <c r="L98" s="48">
        <v>7</v>
      </c>
      <c r="M98" s="48">
        <v>118</v>
      </c>
      <c r="N98" s="48">
        <v>2</v>
      </c>
      <c r="O98" s="48"/>
      <c r="P98" s="47">
        <v>150</v>
      </c>
      <c r="Q98" s="47"/>
      <c r="R98" s="47">
        <v>37</v>
      </c>
      <c r="S98" s="47"/>
      <c r="T98" s="47">
        <v>1</v>
      </c>
      <c r="U98" s="47"/>
      <c r="V98" s="48"/>
      <c r="W98" s="48"/>
      <c r="X98" s="48">
        <v>10</v>
      </c>
      <c r="Y98" s="48"/>
      <c r="Z98" s="48"/>
      <c r="AA98" s="48">
        <v>3</v>
      </c>
      <c r="AB98" s="47"/>
      <c r="AC98" s="47"/>
      <c r="AD98" s="47"/>
      <c r="AE98" s="47">
        <v>1</v>
      </c>
      <c r="AF98" s="47"/>
      <c r="AG98" s="47">
        <v>3</v>
      </c>
      <c r="AH98" s="48">
        <v>2</v>
      </c>
      <c r="AI98" s="48"/>
      <c r="AJ98" s="48">
        <v>1</v>
      </c>
      <c r="AK98" s="48"/>
      <c r="AL98" s="48"/>
      <c r="AM98" s="48"/>
      <c r="AN98" s="50">
        <v>1</v>
      </c>
      <c r="AO98" s="51" t="s">
        <v>50</v>
      </c>
      <c r="AP98" s="300">
        <f t="shared" si="10"/>
        <v>401</v>
      </c>
    </row>
    <row r="99" spans="1:43" ht="21" x14ac:dyDescent="0.35">
      <c r="A99" s="78">
        <v>1</v>
      </c>
      <c r="B99" s="316" t="s">
        <v>692</v>
      </c>
      <c r="C99" s="45" t="s">
        <v>149</v>
      </c>
      <c r="D99" s="52">
        <v>10</v>
      </c>
      <c r="E99" s="57"/>
      <c r="F99" s="58">
        <v>3</v>
      </c>
      <c r="G99" s="57"/>
      <c r="H99" s="57"/>
      <c r="I99" s="57"/>
      <c r="J99" s="55"/>
      <c r="K99" s="55"/>
      <c r="L99" s="59">
        <v>5</v>
      </c>
      <c r="M99" s="55">
        <v>38</v>
      </c>
      <c r="N99" s="55"/>
      <c r="O99" s="55"/>
      <c r="P99" s="57">
        <v>85</v>
      </c>
      <c r="Q99" s="57"/>
      <c r="R99" s="57">
        <v>30</v>
      </c>
      <c r="S99" s="57"/>
      <c r="T99" s="57"/>
      <c r="U99" s="57"/>
      <c r="V99" s="55"/>
      <c r="W99" s="55"/>
      <c r="X99" s="55">
        <v>1</v>
      </c>
      <c r="Y99" s="55"/>
      <c r="Z99" s="55"/>
      <c r="AA99" s="55"/>
      <c r="AB99" s="57"/>
      <c r="AC99" s="57"/>
      <c r="AD99" s="57"/>
      <c r="AE99" s="57"/>
      <c r="AF99" s="57"/>
      <c r="AG99" s="57"/>
      <c r="AH99" s="55">
        <v>1</v>
      </c>
      <c r="AI99" s="55"/>
      <c r="AJ99" s="55"/>
      <c r="AK99" s="55"/>
      <c r="AL99" s="55"/>
      <c r="AM99" s="55"/>
      <c r="AN99" s="60"/>
      <c r="AO99" s="61">
        <f>SUM(D99:AN99)</f>
        <v>173</v>
      </c>
      <c r="AP99" s="306">
        <f>D99+E99+F99+G99+H99+I99+J99+K99+L99+M99+N99+O99+P99+Q99+R99+S99+T99+U99+V99+W99+X99+Y99+Z99+AA99+AB99+AC99+AD99+AE99+AF99+AG99+AH99+AI99+AJ99+AK99+AL99+AM99+AN99</f>
        <v>173</v>
      </c>
      <c r="AQ99" s="17"/>
    </row>
    <row r="100" spans="1:43" ht="21" x14ac:dyDescent="0.35">
      <c r="A100" s="78">
        <v>2</v>
      </c>
      <c r="B100" s="316" t="s">
        <v>692</v>
      </c>
      <c r="C100" s="45" t="s">
        <v>150</v>
      </c>
      <c r="D100" s="46">
        <v>7</v>
      </c>
      <c r="E100" s="47">
        <v>3</v>
      </c>
      <c r="F100" s="47">
        <v>5</v>
      </c>
      <c r="G100" s="47"/>
      <c r="H100" s="47"/>
      <c r="I100" s="47">
        <v>1</v>
      </c>
      <c r="J100" s="48"/>
      <c r="K100" s="48">
        <v>11</v>
      </c>
      <c r="L100" s="48">
        <v>5</v>
      </c>
      <c r="M100" s="48">
        <v>47</v>
      </c>
      <c r="N100" s="48"/>
      <c r="O100" s="48">
        <v>1</v>
      </c>
      <c r="P100" s="47">
        <v>66</v>
      </c>
      <c r="Q100" s="47"/>
      <c r="R100" s="47">
        <v>10</v>
      </c>
      <c r="S100" s="47"/>
      <c r="T100" s="47"/>
      <c r="U100" s="47"/>
      <c r="V100" s="48"/>
      <c r="W100" s="48"/>
      <c r="X100" s="48">
        <v>2</v>
      </c>
      <c r="Y100" s="48"/>
      <c r="Z100" s="48"/>
      <c r="AA100" s="48"/>
      <c r="AB100" s="47"/>
      <c r="AC100" s="47"/>
      <c r="AD100" s="47"/>
      <c r="AE100" s="47">
        <v>2</v>
      </c>
      <c r="AF100" s="47"/>
      <c r="AG100" s="47">
        <v>2</v>
      </c>
      <c r="AH100" s="48"/>
      <c r="AI100" s="48"/>
      <c r="AJ100" s="48">
        <v>1</v>
      </c>
      <c r="AK100" s="48"/>
      <c r="AL100" s="48"/>
      <c r="AM100" s="48"/>
      <c r="AN100" s="50"/>
      <c r="AO100" s="51">
        <f>SUM(D100:AN100)</f>
        <v>163</v>
      </c>
      <c r="AP100" s="306">
        <f t="shared" ref="AP100:AP106" si="12">D100+E100+F100+G100+H100+I100+J100+K100+L100+M100+N100+O100+P100+Q100+R100+S100+T100+U100+V100+W100+X100+Y100+Z100+AA100+AB100+AC100+AD100+AE100+AF100+AG100+AH100+AI100+AJ100+AK100+AL100+AM100+AN100</f>
        <v>163</v>
      </c>
    </row>
    <row r="101" spans="1:43" ht="21" x14ac:dyDescent="0.35">
      <c r="A101" s="78">
        <v>3</v>
      </c>
      <c r="B101" s="316" t="s">
        <v>692</v>
      </c>
      <c r="C101" s="45" t="s">
        <v>151</v>
      </c>
      <c r="D101" s="46">
        <v>2</v>
      </c>
      <c r="E101" s="47"/>
      <c r="F101" s="47">
        <v>1</v>
      </c>
      <c r="G101" s="47"/>
      <c r="H101" s="47"/>
      <c r="I101" s="47">
        <v>3</v>
      </c>
      <c r="J101" s="48"/>
      <c r="K101" s="48"/>
      <c r="L101" s="48">
        <v>1</v>
      </c>
      <c r="M101" s="48">
        <v>99</v>
      </c>
      <c r="N101" s="48">
        <v>2</v>
      </c>
      <c r="O101" s="48"/>
      <c r="P101" s="47">
        <v>40</v>
      </c>
      <c r="Q101" s="47"/>
      <c r="R101" s="47">
        <v>4</v>
      </c>
      <c r="S101" s="47"/>
      <c r="T101" s="47"/>
      <c r="U101" s="47"/>
      <c r="V101" s="48"/>
      <c r="W101" s="48"/>
      <c r="X101" s="48"/>
      <c r="Y101" s="48"/>
      <c r="Z101" s="48"/>
      <c r="AA101" s="48"/>
      <c r="AB101" s="47">
        <v>1</v>
      </c>
      <c r="AC101" s="47"/>
      <c r="AD101" s="47"/>
      <c r="AE101" s="47"/>
      <c r="AF101" s="47"/>
      <c r="AG101" s="47">
        <v>1</v>
      </c>
      <c r="AH101" s="48"/>
      <c r="AI101" s="48"/>
      <c r="AJ101" s="48"/>
      <c r="AK101" s="48"/>
      <c r="AL101" s="48"/>
      <c r="AM101" s="48"/>
      <c r="AN101" s="50"/>
      <c r="AO101" s="51">
        <f>SUM(D101:AN101)</f>
        <v>154</v>
      </c>
      <c r="AP101" s="306">
        <f t="shared" si="12"/>
        <v>154</v>
      </c>
    </row>
    <row r="102" spans="1:43" ht="21" x14ac:dyDescent="0.35">
      <c r="A102" s="78">
        <v>4</v>
      </c>
      <c r="B102" s="316" t="s">
        <v>692</v>
      </c>
      <c r="C102" s="45" t="s">
        <v>152</v>
      </c>
      <c r="D102" s="46">
        <v>1</v>
      </c>
      <c r="E102" s="47"/>
      <c r="F102" s="47"/>
      <c r="G102" s="47"/>
      <c r="H102" s="47"/>
      <c r="I102" s="47"/>
      <c r="J102" s="48"/>
      <c r="K102" s="48"/>
      <c r="L102" s="48">
        <v>4</v>
      </c>
      <c r="M102" s="48">
        <v>34</v>
      </c>
      <c r="N102" s="48"/>
      <c r="O102" s="48"/>
      <c r="P102" s="47">
        <v>20</v>
      </c>
      <c r="Q102" s="47"/>
      <c r="R102" s="47">
        <v>8</v>
      </c>
      <c r="S102" s="47"/>
      <c r="T102" s="47"/>
      <c r="U102" s="47"/>
      <c r="V102" s="48"/>
      <c r="W102" s="48"/>
      <c r="X102" s="48"/>
      <c r="Y102" s="48"/>
      <c r="Z102" s="48"/>
      <c r="AA102" s="48"/>
      <c r="AB102" s="47"/>
      <c r="AC102" s="47"/>
      <c r="AD102" s="47"/>
      <c r="AE102" s="47">
        <v>1</v>
      </c>
      <c r="AF102" s="47">
        <v>1</v>
      </c>
      <c r="AG102" s="47">
        <v>1</v>
      </c>
      <c r="AH102" s="48"/>
      <c r="AI102" s="48"/>
      <c r="AJ102" s="48"/>
      <c r="AK102" s="48"/>
      <c r="AL102" s="48"/>
      <c r="AM102" s="48"/>
      <c r="AN102" s="50">
        <v>3</v>
      </c>
      <c r="AO102" s="51" t="s">
        <v>153</v>
      </c>
      <c r="AP102" s="306">
        <f t="shared" si="12"/>
        <v>73</v>
      </c>
    </row>
    <row r="103" spans="1:43" ht="21" x14ac:dyDescent="0.35">
      <c r="A103" s="78">
        <v>5</v>
      </c>
      <c r="B103" s="316" t="s">
        <v>692</v>
      </c>
      <c r="C103" s="45" t="s">
        <v>154</v>
      </c>
      <c r="D103" s="46"/>
      <c r="E103" s="47">
        <v>2</v>
      </c>
      <c r="F103" s="47">
        <v>2</v>
      </c>
      <c r="G103" s="47"/>
      <c r="H103" s="47"/>
      <c r="I103" s="47"/>
      <c r="J103" s="48"/>
      <c r="K103" s="48">
        <v>1</v>
      </c>
      <c r="L103" s="48">
        <v>2</v>
      </c>
      <c r="M103" s="48">
        <v>39</v>
      </c>
      <c r="N103" s="48"/>
      <c r="O103" s="48"/>
      <c r="P103" s="47">
        <v>18</v>
      </c>
      <c r="Q103" s="47"/>
      <c r="R103" s="47">
        <v>7</v>
      </c>
      <c r="S103" s="47"/>
      <c r="T103" s="47"/>
      <c r="U103" s="47"/>
      <c r="V103" s="48"/>
      <c r="W103" s="48"/>
      <c r="X103" s="48"/>
      <c r="Y103" s="48"/>
      <c r="Z103" s="48"/>
      <c r="AA103" s="48"/>
      <c r="AB103" s="47"/>
      <c r="AC103" s="47"/>
      <c r="AD103" s="47"/>
      <c r="AE103" s="47"/>
      <c r="AF103" s="47"/>
      <c r="AG103" s="47"/>
      <c r="AH103" s="48">
        <v>2</v>
      </c>
      <c r="AI103" s="48"/>
      <c r="AJ103" s="48">
        <v>2</v>
      </c>
      <c r="AK103" s="48"/>
      <c r="AL103" s="48"/>
      <c r="AM103" s="48"/>
      <c r="AN103" s="50"/>
      <c r="AO103" s="51">
        <f>SUM(E103:AN103)</f>
        <v>75</v>
      </c>
      <c r="AP103" s="306">
        <f t="shared" si="12"/>
        <v>75</v>
      </c>
    </row>
    <row r="104" spans="1:43" ht="21" x14ac:dyDescent="0.35">
      <c r="A104" s="78">
        <v>6</v>
      </c>
      <c r="B104" s="316" t="s">
        <v>692</v>
      </c>
      <c r="C104" s="45" t="s">
        <v>155</v>
      </c>
      <c r="D104" s="46">
        <v>1</v>
      </c>
      <c r="E104" s="47"/>
      <c r="F104" s="47"/>
      <c r="G104" s="47"/>
      <c r="H104" s="47"/>
      <c r="I104" s="47"/>
      <c r="J104" s="48"/>
      <c r="K104" s="48">
        <v>1</v>
      </c>
      <c r="L104" s="48">
        <v>2</v>
      </c>
      <c r="M104" s="48">
        <v>12</v>
      </c>
      <c r="N104" s="48"/>
      <c r="O104" s="48"/>
      <c r="P104" s="47">
        <v>7</v>
      </c>
      <c r="Q104" s="47"/>
      <c r="R104" s="47">
        <v>4</v>
      </c>
      <c r="S104" s="47"/>
      <c r="T104" s="47"/>
      <c r="U104" s="47"/>
      <c r="V104" s="48"/>
      <c r="W104" s="48"/>
      <c r="X104" s="48"/>
      <c r="Y104" s="48"/>
      <c r="Z104" s="48"/>
      <c r="AA104" s="48"/>
      <c r="AB104" s="47"/>
      <c r="AC104" s="47">
        <v>1</v>
      </c>
      <c r="AD104" s="47"/>
      <c r="AE104" s="47"/>
      <c r="AF104" s="47"/>
      <c r="AG104" s="47"/>
      <c r="AH104" s="48"/>
      <c r="AI104" s="48"/>
      <c r="AJ104" s="48"/>
      <c r="AK104" s="48"/>
      <c r="AL104" s="48"/>
      <c r="AM104" s="48"/>
      <c r="AN104" s="50"/>
      <c r="AO104" s="51">
        <f t="shared" ref="AO104:AO109" si="13">SUM(D104:AN104)</f>
        <v>28</v>
      </c>
      <c r="AP104" s="306">
        <f t="shared" si="12"/>
        <v>28</v>
      </c>
    </row>
    <row r="105" spans="1:43" ht="21" x14ac:dyDescent="0.35">
      <c r="A105" s="78">
        <v>7</v>
      </c>
      <c r="B105" s="316" t="s">
        <v>692</v>
      </c>
      <c r="C105" s="45" t="s">
        <v>156</v>
      </c>
      <c r="D105" s="52">
        <v>29</v>
      </c>
      <c r="E105" s="57"/>
      <c r="F105" s="58"/>
      <c r="G105" s="57"/>
      <c r="H105" s="57"/>
      <c r="I105" s="57"/>
      <c r="J105" s="55"/>
      <c r="K105" s="55"/>
      <c r="L105" s="59">
        <v>8</v>
      </c>
      <c r="M105" s="55">
        <v>50</v>
      </c>
      <c r="N105" s="55"/>
      <c r="O105" s="55">
        <v>1</v>
      </c>
      <c r="P105" s="57">
        <v>235</v>
      </c>
      <c r="Q105" s="57"/>
      <c r="R105" s="57">
        <v>160</v>
      </c>
      <c r="S105" s="57"/>
      <c r="T105" s="57"/>
      <c r="U105" s="57"/>
      <c r="V105" s="55"/>
      <c r="W105" s="55">
        <v>1</v>
      </c>
      <c r="X105" s="55"/>
      <c r="Y105" s="55"/>
      <c r="Z105" s="55"/>
      <c r="AA105" s="55"/>
      <c r="AB105" s="57"/>
      <c r="AC105" s="57">
        <v>1</v>
      </c>
      <c r="AD105" s="57"/>
      <c r="AE105" s="57"/>
      <c r="AF105" s="57"/>
      <c r="AG105" s="57"/>
      <c r="AH105" s="55">
        <v>1</v>
      </c>
      <c r="AI105" s="55"/>
      <c r="AJ105" s="55"/>
      <c r="AK105" s="55"/>
      <c r="AL105" s="55"/>
      <c r="AM105" s="55"/>
      <c r="AN105" s="60"/>
      <c r="AO105" s="51">
        <f t="shared" si="13"/>
        <v>486</v>
      </c>
      <c r="AP105" s="306">
        <f t="shared" si="12"/>
        <v>486</v>
      </c>
    </row>
    <row r="106" spans="1:43" ht="21" x14ac:dyDescent="0.35">
      <c r="A106" s="78">
        <v>8</v>
      </c>
      <c r="B106" s="316" t="s">
        <v>692</v>
      </c>
      <c r="C106" s="45" t="s">
        <v>157</v>
      </c>
      <c r="D106" s="46"/>
      <c r="E106" s="47"/>
      <c r="F106" s="47"/>
      <c r="G106" s="47"/>
      <c r="H106" s="47"/>
      <c r="I106" s="47"/>
      <c r="J106" s="48"/>
      <c r="K106" s="48"/>
      <c r="L106" s="48"/>
      <c r="M106" s="48">
        <v>2</v>
      </c>
      <c r="N106" s="48"/>
      <c r="O106" s="48"/>
      <c r="P106" s="47">
        <v>1</v>
      </c>
      <c r="Q106" s="47"/>
      <c r="R106" s="47"/>
      <c r="S106" s="47"/>
      <c r="T106" s="47"/>
      <c r="U106" s="47"/>
      <c r="V106" s="48"/>
      <c r="W106" s="48"/>
      <c r="X106" s="48"/>
      <c r="Y106" s="48"/>
      <c r="Z106" s="48"/>
      <c r="AA106" s="48"/>
      <c r="AB106" s="47"/>
      <c r="AC106" s="47"/>
      <c r="AD106" s="47"/>
      <c r="AE106" s="47"/>
      <c r="AF106" s="47"/>
      <c r="AG106" s="47"/>
      <c r="AH106" s="48"/>
      <c r="AI106" s="48"/>
      <c r="AJ106" s="48"/>
      <c r="AK106" s="48"/>
      <c r="AL106" s="48"/>
      <c r="AM106" s="48"/>
      <c r="AN106" s="50"/>
      <c r="AO106" s="51">
        <f t="shared" si="13"/>
        <v>3</v>
      </c>
      <c r="AP106" s="306">
        <f t="shared" si="12"/>
        <v>3</v>
      </c>
    </row>
    <row r="107" spans="1:43" ht="21" x14ac:dyDescent="0.35">
      <c r="A107" s="78">
        <v>1</v>
      </c>
      <c r="B107" s="315" t="s">
        <v>693</v>
      </c>
      <c r="C107" s="81" t="s">
        <v>158</v>
      </c>
      <c r="D107" s="82">
        <v>1</v>
      </c>
      <c r="E107" s="82">
        <v>1</v>
      </c>
      <c r="F107" s="83">
        <v>1</v>
      </c>
      <c r="G107" s="82"/>
      <c r="H107" s="82"/>
      <c r="I107" s="82">
        <v>1</v>
      </c>
      <c r="J107" s="84"/>
      <c r="K107" s="84">
        <v>1</v>
      </c>
      <c r="L107" s="85">
        <v>2</v>
      </c>
      <c r="M107" s="84">
        <v>7</v>
      </c>
      <c r="N107" s="84">
        <v>1</v>
      </c>
      <c r="O107" s="84"/>
      <c r="P107" s="82">
        <v>39</v>
      </c>
      <c r="Q107" s="82"/>
      <c r="R107" s="82">
        <v>16</v>
      </c>
      <c r="S107" s="82"/>
      <c r="T107" s="82"/>
      <c r="U107" s="82"/>
      <c r="V107" s="84"/>
      <c r="W107" s="84"/>
      <c r="X107" s="84">
        <v>2</v>
      </c>
      <c r="Y107" s="84"/>
      <c r="Z107" s="84">
        <v>1</v>
      </c>
      <c r="AA107" s="84"/>
      <c r="AB107" s="82"/>
      <c r="AC107" s="82"/>
      <c r="AD107" s="82"/>
      <c r="AE107" s="82"/>
      <c r="AF107" s="82"/>
      <c r="AG107" s="82"/>
      <c r="AH107" s="84"/>
      <c r="AI107" s="84"/>
      <c r="AJ107" s="84"/>
      <c r="AK107" s="84"/>
      <c r="AL107" s="84"/>
      <c r="AM107" s="84"/>
      <c r="AN107" s="86"/>
      <c r="AO107" s="51">
        <f t="shared" si="13"/>
        <v>73</v>
      </c>
      <c r="AP107" s="305">
        <f>D107+E107+F107+G107+H107+I107+J107+K107+L107+M107+N107+O107+P107+Q107+R107+S107+T107+U107+V107+W107+X107+Y107+Z107+AA107+AB107+AC107+AD107+AE107+AF107+AG107+AH107+AI107+AJ107+AK107+AL107+AM107+AN107</f>
        <v>73</v>
      </c>
    </row>
    <row r="108" spans="1:43" ht="21" x14ac:dyDescent="0.35">
      <c r="A108" s="78">
        <v>2</v>
      </c>
      <c r="B108" s="315" t="s">
        <v>693</v>
      </c>
      <c r="C108" s="79" t="s">
        <v>159</v>
      </c>
      <c r="D108" s="57"/>
      <c r="E108" s="57"/>
      <c r="F108" s="58"/>
      <c r="G108" s="57"/>
      <c r="H108" s="57"/>
      <c r="I108" s="57">
        <v>2</v>
      </c>
      <c r="J108" s="55"/>
      <c r="K108" s="55"/>
      <c r="L108" s="59">
        <v>1</v>
      </c>
      <c r="M108" s="55">
        <v>6</v>
      </c>
      <c r="N108" s="55"/>
      <c r="O108" s="55"/>
      <c r="P108" s="57">
        <v>15</v>
      </c>
      <c r="Q108" s="57"/>
      <c r="R108" s="57">
        <v>4</v>
      </c>
      <c r="S108" s="57"/>
      <c r="T108" s="57"/>
      <c r="U108" s="57"/>
      <c r="V108" s="55"/>
      <c r="W108" s="55"/>
      <c r="X108" s="55"/>
      <c r="Y108" s="55"/>
      <c r="Z108" s="55"/>
      <c r="AA108" s="55">
        <v>1</v>
      </c>
      <c r="AB108" s="57"/>
      <c r="AC108" s="57"/>
      <c r="AD108" s="57"/>
      <c r="AE108" s="57">
        <v>1</v>
      </c>
      <c r="AF108" s="57"/>
      <c r="AG108" s="57"/>
      <c r="AH108" s="55"/>
      <c r="AI108" s="55"/>
      <c r="AJ108" s="55"/>
      <c r="AK108" s="55"/>
      <c r="AL108" s="55"/>
      <c r="AM108" s="55"/>
      <c r="AN108" s="60"/>
      <c r="AO108" s="61">
        <f t="shared" si="13"/>
        <v>30</v>
      </c>
      <c r="AP108" s="305">
        <f t="shared" ref="AP108:AP117" si="14">D108+E108+F108+G108+H108+I108+J108+K108+L108+M108+N108+O108+P108+Q108+R108+S108+T108+U108+V108+W108+X108+Y108+Z108+AA108+AB108+AC108+AD108+AE108+AF108+AG108+AH108+AI108+AJ108+AK108+AL108+AM108+AN108</f>
        <v>30</v>
      </c>
      <c r="AQ108" s="17"/>
    </row>
    <row r="109" spans="1:43" ht="21" x14ac:dyDescent="0.35">
      <c r="A109" s="78">
        <v>3</v>
      </c>
      <c r="B109" s="315" t="s">
        <v>693</v>
      </c>
      <c r="C109" s="79" t="s">
        <v>160</v>
      </c>
      <c r="D109" s="57">
        <v>4</v>
      </c>
      <c r="E109" s="57"/>
      <c r="F109" s="58"/>
      <c r="G109" s="57"/>
      <c r="H109" s="57"/>
      <c r="I109" s="57">
        <v>1</v>
      </c>
      <c r="J109" s="55"/>
      <c r="K109" s="55"/>
      <c r="L109" s="55">
        <v>3</v>
      </c>
      <c r="M109" s="55">
        <v>40</v>
      </c>
      <c r="N109" s="55">
        <v>1</v>
      </c>
      <c r="O109" s="55">
        <v>1</v>
      </c>
      <c r="P109" s="57">
        <v>34</v>
      </c>
      <c r="Q109" s="57"/>
      <c r="R109" s="57">
        <v>5</v>
      </c>
      <c r="S109" s="57"/>
      <c r="T109" s="57"/>
      <c r="U109" s="57"/>
      <c r="V109" s="55"/>
      <c r="W109" s="55"/>
      <c r="X109" s="55">
        <v>1</v>
      </c>
      <c r="Y109" s="55"/>
      <c r="Z109" s="55"/>
      <c r="AA109" s="55"/>
      <c r="AB109" s="57"/>
      <c r="AC109" s="57"/>
      <c r="AD109" s="57"/>
      <c r="AE109" s="57"/>
      <c r="AF109" s="57"/>
      <c r="AG109" s="57"/>
      <c r="AH109" s="55">
        <v>1</v>
      </c>
      <c r="AI109" s="55"/>
      <c r="AJ109" s="55"/>
      <c r="AK109" s="55"/>
      <c r="AL109" s="55"/>
      <c r="AM109" s="55"/>
      <c r="AN109" s="60"/>
      <c r="AO109" s="61">
        <f t="shared" si="13"/>
        <v>91</v>
      </c>
      <c r="AP109" s="305">
        <f t="shared" si="14"/>
        <v>91</v>
      </c>
      <c r="AQ109" s="17"/>
    </row>
    <row r="110" spans="1:43" ht="21" x14ac:dyDescent="0.35">
      <c r="A110" s="78">
        <v>4</v>
      </c>
      <c r="B110" s="315" t="s">
        <v>693</v>
      </c>
      <c r="C110" s="79" t="s">
        <v>161</v>
      </c>
      <c r="D110" s="47">
        <v>7</v>
      </c>
      <c r="E110" s="47">
        <v>2</v>
      </c>
      <c r="F110" s="47"/>
      <c r="G110" s="47"/>
      <c r="H110" s="47"/>
      <c r="I110" s="47">
        <v>1</v>
      </c>
      <c r="J110" s="48"/>
      <c r="K110" s="48">
        <v>2</v>
      </c>
      <c r="L110" s="48">
        <v>1</v>
      </c>
      <c r="M110" s="48">
        <v>39</v>
      </c>
      <c r="N110" s="48">
        <v>1</v>
      </c>
      <c r="O110" s="48"/>
      <c r="P110" s="47">
        <v>32</v>
      </c>
      <c r="Q110" s="47"/>
      <c r="R110" s="47">
        <v>1</v>
      </c>
      <c r="S110" s="47"/>
      <c r="T110" s="47"/>
      <c r="U110" s="47"/>
      <c r="V110" s="48"/>
      <c r="W110" s="48"/>
      <c r="X110" s="48"/>
      <c r="Y110" s="48"/>
      <c r="Z110" s="48"/>
      <c r="AA110" s="48"/>
      <c r="AB110" s="47">
        <v>1</v>
      </c>
      <c r="AC110" s="47"/>
      <c r="AD110" s="47"/>
      <c r="AE110" s="47"/>
      <c r="AF110" s="47"/>
      <c r="AG110" s="47"/>
      <c r="AH110" s="48"/>
      <c r="AI110" s="48"/>
      <c r="AJ110" s="48"/>
      <c r="AK110" s="48"/>
      <c r="AL110" s="48"/>
      <c r="AM110" s="48"/>
      <c r="AN110" s="50">
        <v>1</v>
      </c>
      <c r="AO110" s="51" t="s">
        <v>50</v>
      </c>
      <c r="AP110" s="305">
        <f t="shared" si="14"/>
        <v>88</v>
      </c>
    </row>
    <row r="111" spans="1:43" ht="21" x14ac:dyDescent="0.35">
      <c r="A111" s="78">
        <v>5</v>
      </c>
      <c r="B111" s="315" t="s">
        <v>693</v>
      </c>
      <c r="C111" s="79" t="s">
        <v>162</v>
      </c>
      <c r="D111" s="57"/>
      <c r="E111" s="57"/>
      <c r="F111" s="58">
        <v>1</v>
      </c>
      <c r="G111" s="57"/>
      <c r="H111" s="57"/>
      <c r="I111" s="57"/>
      <c r="J111" s="55"/>
      <c r="K111" s="55">
        <v>1</v>
      </c>
      <c r="L111" s="59">
        <v>5</v>
      </c>
      <c r="M111" s="55">
        <v>24</v>
      </c>
      <c r="N111" s="55"/>
      <c r="O111" s="55"/>
      <c r="P111" s="57">
        <v>77</v>
      </c>
      <c r="Q111" s="57"/>
      <c r="R111" s="57">
        <v>10</v>
      </c>
      <c r="S111" s="57"/>
      <c r="T111" s="57"/>
      <c r="U111" s="57"/>
      <c r="V111" s="55"/>
      <c r="W111" s="55"/>
      <c r="X111" s="55"/>
      <c r="Y111" s="55"/>
      <c r="Z111" s="55"/>
      <c r="AA111" s="55"/>
      <c r="AB111" s="57"/>
      <c r="AC111" s="57"/>
      <c r="AD111" s="57"/>
      <c r="AE111" s="57"/>
      <c r="AF111" s="57"/>
      <c r="AG111" s="57"/>
      <c r="AH111" s="55">
        <v>1</v>
      </c>
      <c r="AI111" s="55"/>
      <c r="AJ111" s="55"/>
      <c r="AK111" s="55"/>
      <c r="AL111" s="55"/>
      <c r="AM111" s="55"/>
      <c r="AN111" s="60"/>
      <c r="AO111" s="61">
        <f>SUM(D111:AN111)</f>
        <v>119</v>
      </c>
      <c r="AP111" s="305">
        <f t="shared" si="14"/>
        <v>119</v>
      </c>
      <c r="AQ111" s="17"/>
    </row>
    <row r="112" spans="1:43" ht="21" x14ac:dyDescent="0.35">
      <c r="A112" s="78">
        <v>6</v>
      </c>
      <c r="B112" s="315" t="s">
        <v>693</v>
      </c>
      <c r="C112" s="79" t="s">
        <v>163</v>
      </c>
      <c r="D112" s="47"/>
      <c r="E112" s="47"/>
      <c r="F112" s="47">
        <v>2</v>
      </c>
      <c r="G112" s="47"/>
      <c r="H112" s="47"/>
      <c r="I112" s="47"/>
      <c r="J112" s="48"/>
      <c r="K112" s="48"/>
      <c r="L112" s="48">
        <v>2</v>
      </c>
      <c r="M112" s="48">
        <v>7</v>
      </c>
      <c r="N112" s="48">
        <v>1</v>
      </c>
      <c r="O112" s="48"/>
      <c r="P112" s="47">
        <v>21</v>
      </c>
      <c r="Q112" s="47"/>
      <c r="R112" s="47">
        <v>5</v>
      </c>
      <c r="S112" s="47"/>
      <c r="T112" s="47"/>
      <c r="U112" s="47"/>
      <c r="V112" s="48"/>
      <c r="W112" s="48"/>
      <c r="X112" s="48"/>
      <c r="Y112" s="48"/>
      <c r="Z112" s="48"/>
      <c r="AA112" s="48">
        <v>1</v>
      </c>
      <c r="AB112" s="47"/>
      <c r="AC112" s="47"/>
      <c r="AD112" s="47"/>
      <c r="AE112" s="47"/>
      <c r="AF112" s="47"/>
      <c r="AG112" s="47">
        <v>1</v>
      </c>
      <c r="AH112" s="48"/>
      <c r="AI112" s="48"/>
      <c r="AJ112" s="48">
        <v>1</v>
      </c>
      <c r="AK112" s="48"/>
      <c r="AL112" s="48"/>
      <c r="AM112" s="48"/>
      <c r="AN112" s="50">
        <v>1</v>
      </c>
      <c r="AO112" s="51" t="s">
        <v>73</v>
      </c>
      <c r="AP112" s="305">
        <f t="shared" si="14"/>
        <v>42</v>
      </c>
    </row>
    <row r="113" spans="1:43" ht="21" x14ac:dyDescent="0.35">
      <c r="A113" s="78">
        <v>7</v>
      </c>
      <c r="B113" s="315" t="s">
        <v>693</v>
      </c>
      <c r="C113" s="79" t="s">
        <v>164</v>
      </c>
      <c r="D113" s="47"/>
      <c r="E113" s="47"/>
      <c r="F113" s="47"/>
      <c r="G113" s="47"/>
      <c r="H113" s="47"/>
      <c r="I113" s="47"/>
      <c r="J113" s="48"/>
      <c r="K113" s="48">
        <v>2</v>
      </c>
      <c r="L113" s="48">
        <v>2</v>
      </c>
      <c r="M113" s="48">
        <v>8</v>
      </c>
      <c r="N113" s="48"/>
      <c r="O113" s="48"/>
      <c r="P113" s="47">
        <v>5</v>
      </c>
      <c r="Q113" s="47"/>
      <c r="R113" s="47">
        <v>2</v>
      </c>
      <c r="S113" s="47"/>
      <c r="T113" s="47"/>
      <c r="U113" s="47"/>
      <c r="V113" s="48"/>
      <c r="W113" s="48"/>
      <c r="X113" s="48"/>
      <c r="Y113" s="48"/>
      <c r="Z113" s="48"/>
      <c r="AA113" s="48"/>
      <c r="AB113" s="47"/>
      <c r="AC113" s="47"/>
      <c r="AD113" s="47"/>
      <c r="AE113" s="47"/>
      <c r="AF113" s="47"/>
      <c r="AG113" s="47">
        <v>1</v>
      </c>
      <c r="AH113" s="48"/>
      <c r="AI113" s="48"/>
      <c r="AJ113" s="48"/>
      <c r="AK113" s="48"/>
      <c r="AL113" s="48"/>
      <c r="AM113" s="48"/>
      <c r="AN113" s="50"/>
      <c r="AO113" s="51">
        <f>SUM(D113:AN113)</f>
        <v>20</v>
      </c>
      <c r="AP113" s="305">
        <f t="shared" si="14"/>
        <v>20</v>
      </c>
    </row>
    <row r="114" spans="1:43" ht="21" x14ac:dyDescent="0.35">
      <c r="A114" s="78">
        <v>8</v>
      </c>
      <c r="B114" s="315" t="s">
        <v>693</v>
      </c>
      <c r="C114" s="79" t="s">
        <v>165</v>
      </c>
      <c r="D114" s="47">
        <v>5</v>
      </c>
      <c r="E114" s="47">
        <v>1</v>
      </c>
      <c r="F114" s="47">
        <v>1</v>
      </c>
      <c r="G114" s="47"/>
      <c r="H114" s="47"/>
      <c r="I114" s="47">
        <v>1</v>
      </c>
      <c r="J114" s="48"/>
      <c r="K114" s="48">
        <v>1</v>
      </c>
      <c r="L114" s="48">
        <v>2</v>
      </c>
      <c r="M114" s="48">
        <v>7</v>
      </c>
      <c r="N114" s="48">
        <v>1</v>
      </c>
      <c r="O114" s="48"/>
      <c r="P114" s="47">
        <v>39</v>
      </c>
      <c r="Q114" s="47"/>
      <c r="R114" s="47">
        <v>16</v>
      </c>
      <c r="S114" s="47"/>
      <c r="T114" s="47"/>
      <c r="U114" s="47"/>
      <c r="V114" s="48"/>
      <c r="W114" s="48"/>
      <c r="X114" s="48">
        <v>2</v>
      </c>
      <c r="Y114" s="48"/>
      <c r="Z114" s="48">
        <v>1</v>
      </c>
      <c r="AA114" s="48"/>
      <c r="AB114" s="47"/>
      <c r="AC114" s="47"/>
      <c r="AD114" s="47"/>
      <c r="AE114" s="47"/>
      <c r="AF114" s="47"/>
      <c r="AG114" s="47"/>
      <c r="AH114" s="48"/>
      <c r="AI114" s="48"/>
      <c r="AJ114" s="48"/>
      <c r="AK114" s="48"/>
      <c r="AL114" s="48"/>
      <c r="AM114" s="48"/>
      <c r="AN114" s="50"/>
      <c r="AO114" s="51">
        <f>SUM(D114:AN114)</f>
        <v>77</v>
      </c>
      <c r="AP114" s="305">
        <f t="shared" si="14"/>
        <v>77</v>
      </c>
    </row>
    <row r="115" spans="1:43" ht="21" x14ac:dyDescent="0.35">
      <c r="A115" s="78">
        <v>9</v>
      </c>
      <c r="B115" s="315" t="s">
        <v>693</v>
      </c>
      <c r="C115" s="79" t="s">
        <v>166</v>
      </c>
      <c r="D115" s="47">
        <v>3</v>
      </c>
      <c r="E115" s="47"/>
      <c r="F115" s="47"/>
      <c r="G115" s="47"/>
      <c r="H115" s="47"/>
      <c r="I115" s="47">
        <v>6</v>
      </c>
      <c r="J115" s="48"/>
      <c r="K115" s="48"/>
      <c r="L115" s="48">
        <v>1</v>
      </c>
      <c r="M115" s="48">
        <v>51</v>
      </c>
      <c r="N115" s="48">
        <v>1</v>
      </c>
      <c r="O115" s="48"/>
      <c r="P115" s="47">
        <v>19</v>
      </c>
      <c r="Q115" s="47"/>
      <c r="R115" s="47">
        <v>5</v>
      </c>
      <c r="S115" s="47"/>
      <c r="T115" s="47"/>
      <c r="U115" s="47"/>
      <c r="V115" s="48"/>
      <c r="W115" s="48"/>
      <c r="X115" s="48">
        <v>1</v>
      </c>
      <c r="Y115" s="48"/>
      <c r="Z115" s="48"/>
      <c r="AA115" s="48"/>
      <c r="AB115" s="47"/>
      <c r="AC115" s="47"/>
      <c r="AD115" s="47">
        <v>1</v>
      </c>
      <c r="AE115" s="47"/>
      <c r="AF115" s="47"/>
      <c r="AG115" s="47"/>
      <c r="AH115" s="48"/>
      <c r="AI115" s="48"/>
      <c r="AJ115" s="48"/>
      <c r="AK115" s="48"/>
      <c r="AL115" s="48">
        <v>1</v>
      </c>
      <c r="AM115" s="48"/>
      <c r="AN115" s="50"/>
      <c r="AO115" s="51" t="s">
        <v>50</v>
      </c>
      <c r="AP115" s="305">
        <f t="shared" si="14"/>
        <v>89</v>
      </c>
    </row>
    <row r="116" spans="1:43" ht="21" x14ac:dyDescent="0.35">
      <c r="A116" s="78">
        <v>10</v>
      </c>
      <c r="B116" s="315" t="s">
        <v>693</v>
      </c>
      <c r="C116" s="79" t="s">
        <v>167</v>
      </c>
      <c r="D116" s="47">
        <v>7</v>
      </c>
      <c r="E116" s="47">
        <v>1</v>
      </c>
      <c r="F116" s="47"/>
      <c r="G116" s="47"/>
      <c r="H116" s="47"/>
      <c r="I116" s="47">
        <v>1</v>
      </c>
      <c r="J116" s="48"/>
      <c r="K116" s="48"/>
      <c r="L116" s="48">
        <v>5</v>
      </c>
      <c r="M116" s="48">
        <v>36</v>
      </c>
      <c r="N116" s="48"/>
      <c r="O116" s="48"/>
      <c r="P116" s="47">
        <v>48</v>
      </c>
      <c r="Q116" s="47"/>
      <c r="R116" s="47">
        <v>8</v>
      </c>
      <c r="S116" s="47"/>
      <c r="T116" s="47"/>
      <c r="U116" s="47"/>
      <c r="V116" s="48"/>
      <c r="W116" s="48">
        <v>2</v>
      </c>
      <c r="X116" s="48"/>
      <c r="Y116" s="48"/>
      <c r="Z116" s="48"/>
      <c r="AA116" s="48"/>
      <c r="AB116" s="47"/>
      <c r="AC116" s="47"/>
      <c r="AD116" s="47"/>
      <c r="AE116" s="47"/>
      <c r="AF116" s="47"/>
      <c r="AG116" s="47">
        <v>1</v>
      </c>
      <c r="AH116" s="48">
        <v>1</v>
      </c>
      <c r="AI116" s="48"/>
      <c r="AJ116" s="48"/>
      <c r="AK116" s="48"/>
      <c r="AL116" s="48"/>
      <c r="AM116" s="48"/>
      <c r="AN116" s="50"/>
      <c r="AO116" s="51">
        <f t="shared" ref="AO116:AO121" si="15">SUM(D116:AN116)</f>
        <v>110</v>
      </c>
      <c r="AP116" s="305">
        <f t="shared" si="14"/>
        <v>110</v>
      </c>
    </row>
    <row r="117" spans="1:43" ht="21" x14ac:dyDescent="0.35">
      <c r="A117" s="78">
        <v>11</v>
      </c>
      <c r="B117" s="315" t="s">
        <v>693</v>
      </c>
      <c r="C117" s="79" t="s">
        <v>168</v>
      </c>
      <c r="D117" s="57">
        <v>1</v>
      </c>
      <c r="E117" s="57">
        <v>5</v>
      </c>
      <c r="F117" s="58">
        <v>1</v>
      </c>
      <c r="G117" s="57"/>
      <c r="H117" s="57"/>
      <c r="I117" s="57"/>
      <c r="J117" s="55"/>
      <c r="K117" s="55">
        <v>6</v>
      </c>
      <c r="L117" s="59">
        <v>1</v>
      </c>
      <c r="M117" s="55">
        <v>56</v>
      </c>
      <c r="N117" s="55"/>
      <c r="O117" s="55"/>
      <c r="P117" s="57">
        <v>36</v>
      </c>
      <c r="Q117" s="57"/>
      <c r="R117" s="57">
        <v>5</v>
      </c>
      <c r="S117" s="57"/>
      <c r="T117" s="57"/>
      <c r="U117" s="57"/>
      <c r="V117" s="55"/>
      <c r="W117" s="55"/>
      <c r="X117" s="55"/>
      <c r="Y117" s="55"/>
      <c r="Z117" s="55"/>
      <c r="AA117" s="55"/>
      <c r="AB117" s="57"/>
      <c r="AC117" s="57"/>
      <c r="AD117" s="57"/>
      <c r="AE117" s="57"/>
      <c r="AF117" s="57"/>
      <c r="AG117" s="57"/>
      <c r="AH117" s="55"/>
      <c r="AI117" s="55"/>
      <c r="AJ117" s="55">
        <v>3</v>
      </c>
      <c r="AK117" s="55"/>
      <c r="AL117" s="55"/>
      <c r="AM117" s="55"/>
      <c r="AN117" s="60"/>
      <c r="AO117" s="51">
        <f t="shared" si="15"/>
        <v>114</v>
      </c>
      <c r="AP117" s="305">
        <f t="shared" si="14"/>
        <v>114</v>
      </c>
    </row>
    <row r="118" spans="1:43" ht="21" x14ac:dyDescent="0.35">
      <c r="A118" s="77">
        <v>1</v>
      </c>
      <c r="B118" s="5" t="s">
        <v>463</v>
      </c>
      <c r="C118" s="92" t="s">
        <v>169</v>
      </c>
      <c r="D118" s="47">
        <v>40</v>
      </c>
      <c r="E118" s="47"/>
      <c r="F118" s="47">
        <v>6</v>
      </c>
      <c r="G118" s="47"/>
      <c r="H118" s="47"/>
      <c r="I118" s="47">
        <v>2</v>
      </c>
      <c r="J118" s="48"/>
      <c r="K118" s="48">
        <v>1</v>
      </c>
      <c r="L118" s="48">
        <v>4</v>
      </c>
      <c r="M118" s="48">
        <v>87</v>
      </c>
      <c r="N118" s="48">
        <v>5</v>
      </c>
      <c r="O118" s="48"/>
      <c r="P118" s="47">
        <v>160</v>
      </c>
      <c r="Q118" s="47"/>
      <c r="R118" s="47">
        <v>81</v>
      </c>
      <c r="S118" s="47"/>
      <c r="T118" s="47"/>
      <c r="U118" s="47"/>
      <c r="V118" s="48"/>
      <c r="W118" s="48"/>
      <c r="X118" s="48"/>
      <c r="Y118" s="48"/>
      <c r="Z118" s="48"/>
      <c r="AA118" s="48"/>
      <c r="AB118" s="47"/>
      <c r="AC118" s="47"/>
      <c r="AD118" s="47">
        <v>1</v>
      </c>
      <c r="AE118" s="47">
        <v>1</v>
      </c>
      <c r="AF118" s="47"/>
      <c r="AG118" s="47"/>
      <c r="AH118" s="48">
        <v>2</v>
      </c>
      <c r="AI118" s="48"/>
      <c r="AJ118" s="48"/>
      <c r="AK118" s="48"/>
      <c r="AL118" s="48"/>
      <c r="AM118" s="48"/>
      <c r="AN118" s="50"/>
      <c r="AO118" s="51">
        <f t="shared" si="15"/>
        <v>390</v>
      </c>
      <c r="AP118" s="305">
        <f>D118+E118+F118+G118+H118+I118+J118+K118+L118+M118+N118+O118+P118+Q118+R118+S118+T118+U118+V118+W118+X118+Y118+Z118+AA118+AB118+AC118+AD118+AE118+AF118+AG118+AH118+AI118+AJ118+AK118+AL118+AM118+AN118</f>
        <v>390</v>
      </c>
    </row>
    <row r="119" spans="1:43" ht="21" x14ac:dyDescent="0.35">
      <c r="A119" s="77">
        <v>2</v>
      </c>
      <c r="B119" s="5" t="s">
        <v>463</v>
      </c>
      <c r="C119" s="92" t="s">
        <v>170</v>
      </c>
      <c r="D119" s="57">
        <v>24</v>
      </c>
      <c r="E119" s="57"/>
      <c r="F119" s="57">
        <v>2</v>
      </c>
      <c r="G119" s="57"/>
      <c r="H119" s="57"/>
      <c r="I119" s="57">
        <v>2</v>
      </c>
      <c r="J119" s="48"/>
      <c r="K119" s="48">
        <v>1</v>
      </c>
      <c r="L119" s="48">
        <v>2</v>
      </c>
      <c r="M119" s="48">
        <v>50</v>
      </c>
      <c r="N119" s="48">
        <v>1</v>
      </c>
      <c r="O119" s="48"/>
      <c r="P119" s="47">
        <v>212</v>
      </c>
      <c r="Q119" s="47"/>
      <c r="R119" s="47">
        <v>92</v>
      </c>
      <c r="S119" s="47"/>
      <c r="T119" s="47"/>
      <c r="U119" s="47"/>
      <c r="V119" s="48"/>
      <c r="W119" s="48"/>
      <c r="X119" s="48"/>
      <c r="Y119" s="48"/>
      <c r="Z119" s="48"/>
      <c r="AA119" s="48"/>
      <c r="AB119" s="47"/>
      <c r="AC119" s="47"/>
      <c r="AD119" s="47"/>
      <c r="AE119" s="47">
        <v>1</v>
      </c>
      <c r="AF119" s="47"/>
      <c r="AG119" s="47"/>
      <c r="AH119" s="48">
        <v>1</v>
      </c>
      <c r="AI119" s="48"/>
      <c r="AJ119" s="48"/>
      <c r="AK119" s="48"/>
      <c r="AL119" s="48"/>
      <c r="AM119" s="48"/>
      <c r="AN119" s="50"/>
      <c r="AO119" s="51">
        <f t="shared" si="15"/>
        <v>388</v>
      </c>
      <c r="AP119" s="305">
        <f t="shared" ref="AP119:AP124" si="16">D119+E119+F119+G119+H119+I119+J119+K119+L119+M119+N119+O119+P119+Q119+R119+S119+T119+U119+V119+W119+X119+Y119+Z119+AA119+AB119+AC119+AD119+AE119+AF119+AG119+AH119+AI119+AJ119+AK119+AL119+AM119+AN119</f>
        <v>388</v>
      </c>
    </row>
    <row r="120" spans="1:43" ht="21" x14ac:dyDescent="0.35">
      <c r="A120" s="77">
        <v>3</v>
      </c>
      <c r="B120" s="5" t="s">
        <v>463</v>
      </c>
      <c r="C120" s="92" t="s">
        <v>171</v>
      </c>
      <c r="D120" s="47">
        <v>59</v>
      </c>
      <c r="E120" s="47">
        <v>1</v>
      </c>
      <c r="F120" s="47">
        <v>8</v>
      </c>
      <c r="G120" s="47"/>
      <c r="H120" s="47"/>
      <c r="I120" s="47">
        <v>3</v>
      </c>
      <c r="J120" s="48"/>
      <c r="K120" s="48">
        <v>4</v>
      </c>
      <c r="L120" s="48">
        <v>16</v>
      </c>
      <c r="M120" s="48">
        <v>219</v>
      </c>
      <c r="N120" s="48">
        <v>3</v>
      </c>
      <c r="O120" s="48"/>
      <c r="P120" s="47">
        <v>352</v>
      </c>
      <c r="Q120" s="47"/>
      <c r="R120" s="47">
        <v>137</v>
      </c>
      <c r="S120" s="47"/>
      <c r="T120" s="47"/>
      <c r="U120" s="47"/>
      <c r="V120" s="48"/>
      <c r="W120" s="48"/>
      <c r="X120" s="48">
        <v>2</v>
      </c>
      <c r="Y120" s="48"/>
      <c r="Z120" s="48"/>
      <c r="AA120" s="48"/>
      <c r="AB120" s="47"/>
      <c r="AC120" s="47"/>
      <c r="AD120" s="47">
        <v>2</v>
      </c>
      <c r="AE120" s="47">
        <v>1</v>
      </c>
      <c r="AF120" s="47"/>
      <c r="AG120" s="47">
        <v>6</v>
      </c>
      <c r="AH120" s="48">
        <v>2</v>
      </c>
      <c r="AI120" s="48"/>
      <c r="AJ120" s="48">
        <v>1</v>
      </c>
      <c r="AK120" s="48"/>
      <c r="AL120" s="48"/>
      <c r="AM120" s="48"/>
      <c r="AN120" s="50"/>
      <c r="AO120" s="51">
        <f t="shared" si="15"/>
        <v>816</v>
      </c>
      <c r="AP120" s="305">
        <f t="shared" si="16"/>
        <v>816</v>
      </c>
    </row>
    <row r="121" spans="1:43" ht="21" x14ac:dyDescent="0.35">
      <c r="A121" s="77">
        <v>4</v>
      </c>
      <c r="B121" s="5" t="s">
        <v>463</v>
      </c>
      <c r="C121" s="92" t="s">
        <v>172</v>
      </c>
      <c r="D121" s="47">
        <v>40</v>
      </c>
      <c r="E121" s="47">
        <v>1</v>
      </c>
      <c r="F121" s="47">
        <v>5</v>
      </c>
      <c r="G121" s="47"/>
      <c r="H121" s="47"/>
      <c r="I121" s="47">
        <v>5</v>
      </c>
      <c r="J121" s="48"/>
      <c r="K121" s="48">
        <v>3</v>
      </c>
      <c r="L121" s="48">
        <v>4</v>
      </c>
      <c r="M121" s="48">
        <v>109</v>
      </c>
      <c r="N121" s="48"/>
      <c r="O121" s="48"/>
      <c r="P121" s="47">
        <v>168</v>
      </c>
      <c r="Q121" s="47"/>
      <c r="R121" s="47">
        <v>103</v>
      </c>
      <c r="S121" s="47">
        <v>1</v>
      </c>
      <c r="T121" s="47"/>
      <c r="U121" s="47"/>
      <c r="V121" s="48"/>
      <c r="W121" s="48"/>
      <c r="X121" s="48">
        <v>4</v>
      </c>
      <c r="Y121" s="48">
        <v>1</v>
      </c>
      <c r="Z121" s="48"/>
      <c r="AA121" s="48">
        <v>1</v>
      </c>
      <c r="AB121" s="47"/>
      <c r="AC121" s="47"/>
      <c r="AD121" s="47"/>
      <c r="AE121" s="47"/>
      <c r="AF121" s="47"/>
      <c r="AG121" s="47">
        <v>9</v>
      </c>
      <c r="AH121" s="48">
        <v>2</v>
      </c>
      <c r="AI121" s="48"/>
      <c r="AJ121" s="48"/>
      <c r="AK121" s="48"/>
      <c r="AL121" s="48"/>
      <c r="AM121" s="48"/>
      <c r="AN121" s="50">
        <v>1</v>
      </c>
      <c r="AO121" s="51">
        <f t="shared" si="15"/>
        <v>457</v>
      </c>
      <c r="AP121" s="305">
        <f t="shared" si="16"/>
        <v>457</v>
      </c>
    </row>
    <row r="122" spans="1:43" ht="21" x14ac:dyDescent="0.35">
      <c r="A122" s="77">
        <v>5</v>
      </c>
      <c r="B122" s="5" t="s">
        <v>463</v>
      </c>
      <c r="C122" s="92" t="s">
        <v>173</v>
      </c>
      <c r="D122" s="53">
        <v>45</v>
      </c>
      <c r="E122" s="53">
        <v>1</v>
      </c>
      <c r="F122" s="53">
        <v>14</v>
      </c>
      <c r="G122" s="53"/>
      <c r="H122" s="53">
        <v>1</v>
      </c>
      <c r="I122" s="53">
        <v>1</v>
      </c>
      <c r="J122" s="54"/>
      <c r="K122" s="54">
        <v>6</v>
      </c>
      <c r="L122" s="54">
        <v>11</v>
      </c>
      <c r="M122" s="54">
        <v>99</v>
      </c>
      <c r="N122" s="54">
        <v>4</v>
      </c>
      <c r="O122" s="54"/>
      <c r="P122" s="53">
        <v>192</v>
      </c>
      <c r="Q122" s="53"/>
      <c r="R122" s="53">
        <v>89</v>
      </c>
      <c r="S122" s="53"/>
      <c r="T122" s="53"/>
      <c r="U122" s="53"/>
      <c r="V122" s="54"/>
      <c r="W122" s="54">
        <v>4</v>
      </c>
      <c r="X122" s="54"/>
      <c r="Y122" s="54"/>
      <c r="Z122" s="54"/>
      <c r="AA122" s="54"/>
      <c r="AB122" s="53"/>
      <c r="AC122" s="53"/>
      <c r="AD122" s="53"/>
      <c r="AE122" s="53">
        <v>1</v>
      </c>
      <c r="AF122" s="53">
        <v>2</v>
      </c>
      <c r="AG122" s="53">
        <v>5</v>
      </c>
      <c r="AH122" s="54">
        <v>1</v>
      </c>
      <c r="AI122" s="54"/>
      <c r="AJ122" s="54">
        <v>1</v>
      </c>
      <c r="AK122" s="54"/>
      <c r="AL122" s="54"/>
      <c r="AM122" s="54"/>
      <c r="AN122" s="74">
        <v>2</v>
      </c>
      <c r="AO122" s="51" t="s">
        <v>73</v>
      </c>
      <c r="AP122" s="305">
        <f t="shared" si="16"/>
        <v>479</v>
      </c>
    </row>
    <row r="123" spans="1:43" ht="21" x14ac:dyDescent="0.35">
      <c r="A123" s="77">
        <v>6</v>
      </c>
      <c r="B123" s="5" t="s">
        <v>463</v>
      </c>
      <c r="C123" s="92" t="s">
        <v>174</v>
      </c>
      <c r="D123" s="57">
        <v>30</v>
      </c>
      <c r="E123" s="57"/>
      <c r="F123" s="58">
        <v>10</v>
      </c>
      <c r="G123" s="57"/>
      <c r="H123" s="57"/>
      <c r="I123" s="57">
        <v>1</v>
      </c>
      <c r="J123" s="55"/>
      <c r="K123" s="55">
        <v>1</v>
      </c>
      <c r="L123" s="59">
        <v>1</v>
      </c>
      <c r="M123" s="55">
        <v>107</v>
      </c>
      <c r="N123" s="55">
        <v>2</v>
      </c>
      <c r="O123" s="55"/>
      <c r="P123" s="57">
        <v>109</v>
      </c>
      <c r="Q123" s="57"/>
      <c r="R123" s="57">
        <v>40</v>
      </c>
      <c r="S123" s="57"/>
      <c r="T123" s="57"/>
      <c r="U123" s="57"/>
      <c r="V123" s="55"/>
      <c r="W123" s="55"/>
      <c r="X123" s="55">
        <v>2</v>
      </c>
      <c r="Y123" s="55"/>
      <c r="Z123" s="55"/>
      <c r="AA123" s="55"/>
      <c r="AB123" s="57"/>
      <c r="AC123" s="57"/>
      <c r="AD123" s="57"/>
      <c r="AE123" s="57"/>
      <c r="AF123" s="57">
        <v>1</v>
      </c>
      <c r="AG123" s="57">
        <v>1</v>
      </c>
      <c r="AH123" s="55"/>
      <c r="AI123" s="55"/>
      <c r="AJ123" s="55">
        <v>1</v>
      </c>
      <c r="AK123" s="55"/>
      <c r="AL123" s="55"/>
      <c r="AM123" s="55"/>
      <c r="AN123" s="60">
        <v>1</v>
      </c>
      <c r="AO123" s="61" t="s">
        <v>50</v>
      </c>
      <c r="AP123" s="305">
        <f t="shared" si="16"/>
        <v>307</v>
      </c>
      <c r="AQ123" s="17"/>
    </row>
    <row r="124" spans="1:43" ht="21" x14ac:dyDescent="0.35">
      <c r="A124" s="77">
        <v>7</v>
      </c>
      <c r="B124" s="5" t="s">
        <v>463</v>
      </c>
      <c r="C124" s="92" t="s">
        <v>175</v>
      </c>
      <c r="D124" s="47">
        <v>69</v>
      </c>
      <c r="E124" s="47">
        <v>4</v>
      </c>
      <c r="F124" s="47">
        <v>17</v>
      </c>
      <c r="G124" s="47"/>
      <c r="H124" s="47"/>
      <c r="I124" s="47">
        <v>6</v>
      </c>
      <c r="J124" s="48"/>
      <c r="K124" s="48">
        <v>6</v>
      </c>
      <c r="L124" s="48">
        <v>6</v>
      </c>
      <c r="M124" s="48">
        <v>256</v>
      </c>
      <c r="N124" s="48"/>
      <c r="O124" s="48"/>
      <c r="P124" s="47">
        <v>365</v>
      </c>
      <c r="Q124" s="47"/>
      <c r="R124" s="47">
        <v>156</v>
      </c>
      <c r="S124" s="47"/>
      <c r="T124" s="47">
        <v>1</v>
      </c>
      <c r="U124" s="47"/>
      <c r="V124" s="48"/>
      <c r="W124" s="48">
        <v>1</v>
      </c>
      <c r="X124" s="48"/>
      <c r="Y124" s="48"/>
      <c r="Z124" s="48"/>
      <c r="AA124" s="48"/>
      <c r="AB124" s="47"/>
      <c r="AC124" s="47"/>
      <c r="AD124" s="47"/>
      <c r="AE124" s="47">
        <v>2</v>
      </c>
      <c r="AF124" s="47">
        <v>1</v>
      </c>
      <c r="AG124" s="47">
        <v>1</v>
      </c>
      <c r="AH124" s="48">
        <v>4</v>
      </c>
      <c r="AI124" s="48"/>
      <c r="AJ124" s="48"/>
      <c r="AK124" s="48"/>
      <c r="AL124" s="48"/>
      <c r="AM124" s="48"/>
      <c r="AN124" s="50"/>
      <c r="AO124" s="51">
        <f>SUM(D124:AN124)</f>
        <v>895</v>
      </c>
      <c r="AP124" s="305">
        <f t="shared" si="16"/>
        <v>895</v>
      </c>
    </row>
    <row r="125" spans="1:43" ht="21" x14ac:dyDescent="0.35">
      <c r="A125" s="77">
        <v>8</v>
      </c>
      <c r="B125" s="5" t="s">
        <v>463</v>
      </c>
      <c r="C125" s="92" t="s">
        <v>176</v>
      </c>
      <c r="D125" s="47">
        <v>34</v>
      </c>
      <c r="E125" s="47">
        <v>0</v>
      </c>
      <c r="F125" s="47">
        <v>1</v>
      </c>
      <c r="G125" s="47">
        <v>0</v>
      </c>
      <c r="H125" s="47">
        <v>0</v>
      </c>
      <c r="I125" s="47">
        <v>1</v>
      </c>
      <c r="J125" s="48">
        <v>0</v>
      </c>
      <c r="K125" s="48">
        <v>1</v>
      </c>
      <c r="L125" s="48">
        <v>13</v>
      </c>
      <c r="M125" s="48">
        <v>330</v>
      </c>
      <c r="N125" s="48">
        <v>1</v>
      </c>
      <c r="O125" s="48">
        <v>0</v>
      </c>
      <c r="P125" s="47">
        <v>228</v>
      </c>
      <c r="Q125" s="47">
        <v>0</v>
      </c>
      <c r="R125" s="47">
        <v>87</v>
      </c>
      <c r="S125" s="47">
        <v>0</v>
      </c>
      <c r="T125" s="47">
        <v>0</v>
      </c>
      <c r="U125" s="47">
        <v>0</v>
      </c>
      <c r="V125" s="48">
        <v>1</v>
      </c>
      <c r="W125" s="48">
        <v>0</v>
      </c>
      <c r="X125" s="48">
        <v>0</v>
      </c>
      <c r="Y125" s="48">
        <v>0</v>
      </c>
      <c r="Z125" s="48">
        <v>0</v>
      </c>
      <c r="AA125" s="48">
        <v>1</v>
      </c>
      <c r="AB125" s="47">
        <v>0</v>
      </c>
      <c r="AC125" s="47">
        <v>0</v>
      </c>
      <c r="AD125" s="47">
        <v>0</v>
      </c>
      <c r="AE125" s="47">
        <v>0</v>
      </c>
      <c r="AF125" s="47">
        <v>0</v>
      </c>
      <c r="AG125" s="47">
        <v>5</v>
      </c>
      <c r="AH125" s="48">
        <v>0</v>
      </c>
      <c r="AI125" s="48">
        <v>0</v>
      </c>
      <c r="AJ125" s="48">
        <v>0</v>
      </c>
      <c r="AK125" s="48">
        <v>0</v>
      </c>
      <c r="AL125" s="48">
        <v>0</v>
      </c>
      <c r="AM125" s="48">
        <v>0</v>
      </c>
      <c r="AN125" s="50">
        <v>0</v>
      </c>
      <c r="AO125" s="51">
        <f>SUM(D125:AN125)</f>
        <v>703</v>
      </c>
      <c r="AP125" s="305">
        <f>D125+E125+F125+G125+H125+I125+J125+K125+L125+M125+N125+O125+P125+Q125+R125+S125+T125+U125+V125+W125+X125+Y125+Z125+AA125+AB125+AC125+AD125+AE125+AF125+AG125+AH125+AI125+AJ125+AK125+AL125+AM125+AN125</f>
        <v>703</v>
      </c>
    </row>
    <row r="126" spans="1:43" ht="21" x14ac:dyDescent="0.35">
      <c r="A126" s="77">
        <v>1</v>
      </c>
      <c r="B126" s="5" t="s">
        <v>729</v>
      </c>
      <c r="C126" s="92" t="s">
        <v>177</v>
      </c>
      <c r="D126" s="57">
        <v>2</v>
      </c>
      <c r="E126" s="57"/>
      <c r="F126" s="57">
        <v>1</v>
      </c>
      <c r="G126" s="57"/>
      <c r="H126" s="57"/>
      <c r="I126" s="57"/>
      <c r="J126" s="55"/>
      <c r="K126" s="55">
        <v>1</v>
      </c>
      <c r="L126" s="55">
        <v>3</v>
      </c>
      <c r="M126" s="55">
        <v>75</v>
      </c>
      <c r="N126" s="55"/>
      <c r="O126" s="55">
        <v>1</v>
      </c>
      <c r="P126" s="57">
        <v>57</v>
      </c>
      <c r="Q126" s="57"/>
      <c r="R126" s="57">
        <v>36</v>
      </c>
      <c r="S126" s="57"/>
      <c r="T126" s="57"/>
      <c r="U126" s="57"/>
      <c r="V126" s="55"/>
      <c r="W126" s="55"/>
      <c r="X126" s="55">
        <v>1</v>
      </c>
      <c r="Y126" s="55"/>
      <c r="Z126" s="55">
        <v>2</v>
      </c>
      <c r="AA126" s="55"/>
      <c r="AB126" s="57"/>
      <c r="AC126" s="57"/>
      <c r="AD126" s="57"/>
      <c r="AE126" s="57"/>
      <c r="AF126" s="57"/>
      <c r="AG126" s="57">
        <v>1</v>
      </c>
      <c r="AH126" s="55"/>
      <c r="AI126" s="55"/>
      <c r="AJ126" s="55"/>
      <c r="AK126" s="55"/>
      <c r="AL126" s="55"/>
      <c r="AM126" s="55"/>
      <c r="AN126" s="60"/>
      <c r="AO126" s="61">
        <f t="shared" ref="AO126:AO142" si="17">SUM(D126:AN126)</f>
        <v>180</v>
      </c>
      <c r="AP126" s="306">
        <f>D126+E126+F126+G126+H126+I126+J126+K126+L126+M126+N126+O126+P126+Q126+R126+S126+T126+U126+V126+W126+X126+Y126+Z126+AA126+AB126+AC126+AD126+AE126+AF126+AG126+AH126+AI126+AJ126+AK126+AL126+AM126+AN126</f>
        <v>180</v>
      </c>
      <c r="AQ126" s="17"/>
    </row>
    <row r="127" spans="1:43" ht="21" x14ac:dyDescent="0.35">
      <c r="A127" s="77">
        <v>2</v>
      </c>
      <c r="B127" s="5" t="s">
        <v>729</v>
      </c>
      <c r="C127" s="92" t="s">
        <v>178</v>
      </c>
      <c r="D127" s="47">
        <v>2</v>
      </c>
      <c r="E127" s="47"/>
      <c r="F127" s="47"/>
      <c r="G127" s="47">
        <v>1</v>
      </c>
      <c r="H127" s="47"/>
      <c r="I127" s="47"/>
      <c r="J127" s="48"/>
      <c r="K127" s="48">
        <v>1</v>
      </c>
      <c r="L127" s="48"/>
      <c r="M127" s="48">
        <v>24</v>
      </c>
      <c r="N127" s="48"/>
      <c r="O127" s="48"/>
      <c r="P127" s="47">
        <v>13</v>
      </c>
      <c r="Q127" s="47"/>
      <c r="R127" s="47"/>
      <c r="S127" s="47"/>
      <c r="T127" s="47"/>
      <c r="U127" s="47"/>
      <c r="V127" s="48"/>
      <c r="W127" s="48"/>
      <c r="X127" s="48"/>
      <c r="Y127" s="48"/>
      <c r="Z127" s="48"/>
      <c r="AA127" s="48"/>
      <c r="AB127" s="47"/>
      <c r="AC127" s="47"/>
      <c r="AD127" s="47"/>
      <c r="AE127" s="47"/>
      <c r="AF127" s="47"/>
      <c r="AG127" s="47"/>
      <c r="AH127" s="48"/>
      <c r="AI127" s="48"/>
      <c r="AJ127" s="48"/>
      <c r="AK127" s="48"/>
      <c r="AL127" s="48"/>
      <c r="AM127" s="48"/>
      <c r="AN127" s="50"/>
      <c r="AO127" s="51">
        <f t="shared" si="17"/>
        <v>41</v>
      </c>
      <c r="AP127" s="306">
        <f t="shared" ref="AP127:AP142" si="18">D127+E127+F127+G127+H127+I127+J127+K127+L127+M127+N127+O127+P127+Q127+R127+S127+T127+U127+V127+W127+X127+Y127+Z127+AA127+AB127+AC127+AD127+AE127+AF127+AG127+AH127+AI127+AJ127+AK127+AL127+AM127+AN127</f>
        <v>41</v>
      </c>
    </row>
    <row r="128" spans="1:43" ht="21" x14ac:dyDescent="0.35">
      <c r="A128" s="77">
        <v>3</v>
      </c>
      <c r="B128" s="5" t="s">
        <v>729</v>
      </c>
      <c r="C128" s="70" t="s">
        <v>179</v>
      </c>
      <c r="D128" s="47">
        <v>2</v>
      </c>
      <c r="E128" s="47"/>
      <c r="F128" s="47">
        <v>1</v>
      </c>
      <c r="G128" s="47"/>
      <c r="H128" s="47"/>
      <c r="I128" s="47"/>
      <c r="J128" s="48"/>
      <c r="K128" s="48">
        <v>1</v>
      </c>
      <c r="L128" s="48">
        <v>3</v>
      </c>
      <c r="M128" s="48">
        <v>75</v>
      </c>
      <c r="N128" s="48"/>
      <c r="O128" s="48">
        <v>1</v>
      </c>
      <c r="P128" s="47">
        <v>57</v>
      </c>
      <c r="Q128" s="47"/>
      <c r="R128" s="47">
        <v>36</v>
      </c>
      <c r="S128" s="47"/>
      <c r="T128" s="47"/>
      <c r="U128" s="47"/>
      <c r="V128" s="48"/>
      <c r="W128" s="48"/>
      <c r="X128" s="48">
        <v>1</v>
      </c>
      <c r="Y128" s="48"/>
      <c r="Z128" s="48">
        <v>2</v>
      </c>
      <c r="AA128" s="48"/>
      <c r="AB128" s="47"/>
      <c r="AC128" s="47"/>
      <c r="AD128" s="47"/>
      <c r="AE128" s="47"/>
      <c r="AF128" s="47"/>
      <c r="AG128" s="47">
        <v>1</v>
      </c>
      <c r="AH128" s="48"/>
      <c r="AI128" s="48"/>
      <c r="AJ128" s="48"/>
      <c r="AK128" s="48"/>
      <c r="AL128" s="48"/>
      <c r="AM128" s="48"/>
      <c r="AN128" s="50"/>
      <c r="AO128" s="51">
        <f t="shared" si="17"/>
        <v>180</v>
      </c>
      <c r="AP128" s="306">
        <f t="shared" si="18"/>
        <v>180</v>
      </c>
    </row>
    <row r="129" spans="1:44" ht="21" x14ac:dyDescent="0.35">
      <c r="A129" s="77">
        <v>4</v>
      </c>
      <c r="B129" s="5" t="s">
        <v>729</v>
      </c>
      <c r="C129" s="92" t="s">
        <v>180</v>
      </c>
      <c r="D129" s="57">
        <v>1</v>
      </c>
      <c r="E129" s="57"/>
      <c r="F129" s="58"/>
      <c r="G129" s="57"/>
      <c r="H129" s="57"/>
      <c r="I129" s="57"/>
      <c r="J129" s="55"/>
      <c r="K129" s="55"/>
      <c r="L129" s="59">
        <v>2</v>
      </c>
      <c r="M129" s="55">
        <v>4</v>
      </c>
      <c r="N129" s="55"/>
      <c r="O129" s="55"/>
      <c r="P129" s="57">
        <v>3</v>
      </c>
      <c r="Q129" s="57"/>
      <c r="R129" s="57">
        <v>7</v>
      </c>
      <c r="S129" s="57"/>
      <c r="T129" s="57"/>
      <c r="U129" s="57"/>
      <c r="V129" s="55"/>
      <c r="W129" s="55"/>
      <c r="X129" s="55"/>
      <c r="Y129" s="55"/>
      <c r="Z129" s="55"/>
      <c r="AA129" s="55"/>
      <c r="AB129" s="57"/>
      <c r="AC129" s="57"/>
      <c r="AD129" s="57"/>
      <c r="AE129" s="57"/>
      <c r="AF129" s="57"/>
      <c r="AG129" s="57"/>
      <c r="AH129" s="55">
        <v>1</v>
      </c>
      <c r="AI129" s="55"/>
      <c r="AJ129" s="55"/>
      <c r="AK129" s="55"/>
      <c r="AL129" s="55"/>
      <c r="AM129" s="55"/>
      <c r="AN129" s="60"/>
      <c r="AO129" s="61">
        <f t="shared" si="17"/>
        <v>18</v>
      </c>
      <c r="AP129" s="306">
        <f t="shared" si="18"/>
        <v>18</v>
      </c>
      <c r="AQ129" s="17"/>
    </row>
    <row r="130" spans="1:44" ht="21" x14ac:dyDescent="0.35">
      <c r="A130" s="77">
        <v>5</v>
      </c>
      <c r="B130" s="5" t="s">
        <v>729</v>
      </c>
      <c r="C130" s="92" t="s">
        <v>181</v>
      </c>
      <c r="D130" s="57">
        <v>3</v>
      </c>
      <c r="E130" s="57"/>
      <c r="F130" s="57">
        <v>1</v>
      </c>
      <c r="G130" s="57"/>
      <c r="H130" s="57"/>
      <c r="I130" s="57">
        <v>1</v>
      </c>
      <c r="J130" s="55"/>
      <c r="K130" s="55"/>
      <c r="L130" s="55">
        <v>2</v>
      </c>
      <c r="M130" s="55">
        <v>26</v>
      </c>
      <c r="N130" s="55"/>
      <c r="O130" s="55"/>
      <c r="P130" s="57">
        <v>9</v>
      </c>
      <c r="Q130" s="57"/>
      <c r="R130" s="57">
        <v>9</v>
      </c>
      <c r="S130" s="57"/>
      <c r="T130" s="57"/>
      <c r="U130" s="57"/>
      <c r="V130" s="55"/>
      <c r="W130" s="55"/>
      <c r="X130" s="55">
        <v>1</v>
      </c>
      <c r="Y130" s="55"/>
      <c r="Z130" s="55"/>
      <c r="AA130" s="55"/>
      <c r="AB130" s="57"/>
      <c r="AC130" s="57"/>
      <c r="AD130" s="57"/>
      <c r="AE130" s="57"/>
      <c r="AF130" s="57"/>
      <c r="AG130" s="57"/>
      <c r="AH130" s="55">
        <v>2</v>
      </c>
      <c r="AI130" s="55"/>
      <c r="AJ130" s="55"/>
      <c r="AK130" s="55"/>
      <c r="AL130" s="55"/>
      <c r="AM130" s="55"/>
      <c r="AN130" s="60"/>
      <c r="AO130" s="51">
        <f t="shared" si="17"/>
        <v>54</v>
      </c>
      <c r="AP130" s="306">
        <f t="shared" si="18"/>
        <v>54</v>
      </c>
    </row>
    <row r="131" spans="1:44" ht="21" x14ac:dyDescent="0.35">
      <c r="A131" s="77">
        <v>6</v>
      </c>
      <c r="B131" s="5" t="s">
        <v>729</v>
      </c>
      <c r="C131" s="92" t="s">
        <v>182</v>
      </c>
      <c r="D131" s="47">
        <v>0</v>
      </c>
      <c r="E131" s="47">
        <v>0</v>
      </c>
      <c r="F131" s="47">
        <v>0</v>
      </c>
      <c r="G131" s="47">
        <v>0</v>
      </c>
      <c r="H131" s="47">
        <v>0</v>
      </c>
      <c r="I131" s="47">
        <v>0</v>
      </c>
      <c r="J131" s="48">
        <v>0</v>
      </c>
      <c r="K131" s="48">
        <v>0</v>
      </c>
      <c r="L131" s="48">
        <v>0</v>
      </c>
      <c r="M131" s="48">
        <v>0</v>
      </c>
      <c r="N131" s="48">
        <v>0</v>
      </c>
      <c r="O131" s="48">
        <v>0</v>
      </c>
      <c r="P131" s="47">
        <v>0</v>
      </c>
      <c r="Q131" s="47">
        <v>0</v>
      </c>
      <c r="R131" s="47">
        <v>0</v>
      </c>
      <c r="S131" s="47">
        <v>0</v>
      </c>
      <c r="T131" s="47">
        <v>0</v>
      </c>
      <c r="U131" s="47">
        <v>0</v>
      </c>
      <c r="V131" s="48">
        <v>0</v>
      </c>
      <c r="W131" s="48">
        <v>0</v>
      </c>
      <c r="X131" s="48">
        <v>0</v>
      </c>
      <c r="Y131" s="48">
        <v>0</v>
      </c>
      <c r="Z131" s="48">
        <v>0</v>
      </c>
      <c r="AA131" s="48">
        <v>0</v>
      </c>
      <c r="AB131" s="47">
        <v>0</v>
      </c>
      <c r="AC131" s="47">
        <v>0</v>
      </c>
      <c r="AD131" s="47">
        <v>0</v>
      </c>
      <c r="AE131" s="47">
        <v>0</v>
      </c>
      <c r="AF131" s="47">
        <v>0</v>
      </c>
      <c r="AG131" s="47"/>
      <c r="AH131" s="48">
        <v>0</v>
      </c>
      <c r="AI131" s="48">
        <v>0</v>
      </c>
      <c r="AJ131" s="48">
        <v>0</v>
      </c>
      <c r="AK131" s="48"/>
      <c r="AL131" s="48"/>
      <c r="AM131" s="48"/>
      <c r="AN131" s="50"/>
      <c r="AO131" s="51">
        <f t="shared" si="17"/>
        <v>0</v>
      </c>
      <c r="AP131" s="306">
        <f t="shared" si="18"/>
        <v>0</v>
      </c>
    </row>
    <row r="132" spans="1:44" ht="21" x14ac:dyDescent="0.35">
      <c r="A132" s="77">
        <v>7</v>
      </c>
      <c r="B132" s="5" t="s">
        <v>729</v>
      </c>
      <c r="C132" s="92" t="s">
        <v>183</v>
      </c>
      <c r="D132" s="47"/>
      <c r="E132" s="47"/>
      <c r="F132" s="47"/>
      <c r="G132" s="47"/>
      <c r="H132" s="47"/>
      <c r="I132" s="47"/>
      <c r="J132" s="48"/>
      <c r="K132" s="48"/>
      <c r="L132" s="48"/>
      <c r="M132" s="48">
        <v>4</v>
      </c>
      <c r="N132" s="48"/>
      <c r="O132" s="48"/>
      <c r="P132" s="47">
        <v>2</v>
      </c>
      <c r="Q132" s="47"/>
      <c r="R132" s="47">
        <v>8</v>
      </c>
      <c r="S132" s="47"/>
      <c r="T132" s="47"/>
      <c r="U132" s="47"/>
      <c r="V132" s="48"/>
      <c r="W132" s="48"/>
      <c r="X132" s="48"/>
      <c r="Y132" s="48"/>
      <c r="Z132" s="48"/>
      <c r="AA132" s="48"/>
      <c r="AB132" s="47"/>
      <c r="AC132" s="47"/>
      <c r="AD132" s="47"/>
      <c r="AE132" s="47"/>
      <c r="AF132" s="47"/>
      <c r="AG132" s="47"/>
      <c r="AH132" s="48"/>
      <c r="AI132" s="48"/>
      <c r="AJ132" s="48"/>
      <c r="AK132" s="48"/>
      <c r="AL132" s="48"/>
      <c r="AM132" s="48"/>
      <c r="AN132" s="50"/>
      <c r="AO132" s="51">
        <f t="shared" si="17"/>
        <v>14</v>
      </c>
      <c r="AP132" s="306">
        <f t="shared" si="18"/>
        <v>14</v>
      </c>
    </row>
    <row r="133" spans="1:44" ht="21" x14ac:dyDescent="0.35">
      <c r="A133" s="77">
        <v>8</v>
      </c>
      <c r="B133" s="5" t="s">
        <v>729</v>
      </c>
      <c r="C133" s="94" t="s">
        <v>184</v>
      </c>
      <c r="D133" s="53"/>
      <c r="E133" s="53"/>
      <c r="F133" s="53"/>
      <c r="G133" s="53"/>
      <c r="H133" s="53"/>
      <c r="I133" s="53"/>
      <c r="J133" s="54"/>
      <c r="K133" s="54"/>
      <c r="L133" s="54"/>
      <c r="M133" s="54">
        <v>3</v>
      </c>
      <c r="N133" s="54"/>
      <c r="O133" s="54"/>
      <c r="P133" s="53"/>
      <c r="Q133" s="53"/>
      <c r="R133" s="53">
        <v>2</v>
      </c>
      <c r="S133" s="53"/>
      <c r="T133" s="53"/>
      <c r="U133" s="53"/>
      <c r="V133" s="54"/>
      <c r="W133" s="54"/>
      <c r="X133" s="54"/>
      <c r="Y133" s="54"/>
      <c r="Z133" s="54"/>
      <c r="AA133" s="54"/>
      <c r="AB133" s="53"/>
      <c r="AC133" s="53"/>
      <c r="AD133" s="53"/>
      <c r="AE133" s="53"/>
      <c r="AF133" s="53"/>
      <c r="AG133" s="53"/>
      <c r="AH133" s="54"/>
      <c r="AI133" s="54"/>
      <c r="AJ133" s="54"/>
      <c r="AK133" s="54"/>
      <c r="AL133" s="54"/>
      <c r="AM133" s="54"/>
      <c r="AN133" s="74"/>
      <c r="AO133" s="51">
        <f t="shared" si="17"/>
        <v>5</v>
      </c>
      <c r="AP133" s="306">
        <f t="shared" si="18"/>
        <v>5</v>
      </c>
    </row>
    <row r="134" spans="1:44" ht="21" x14ac:dyDescent="0.35">
      <c r="A134" s="77">
        <v>9</v>
      </c>
      <c r="B134" s="5" t="s">
        <v>729</v>
      </c>
      <c r="C134" s="92" t="s">
        <v>185</v>
      </c>
      <c r="D134" s="47">
        <v>16</v>
      </c>
      <c r="E134" s="47"/>
      <c r="F134" s="47">
        <v>7</v>
      </c>
      <c r="G134" s="47"/>
      <c r="H134" s="47"/>
      <c r="I134" s="47"/>
      <c r="J134" s="48"/>
      <c r="K134" s="48"/>
      <c r="L134" s="48"/>
      <c r="M134" s="48">
        <v>29</v>
      </c>
      <c r="N134" s="48"/>
      <c r="O134" s="48">
        <v>1</v>
      </c>
      <c r="P134" s="47">
        <v>32</v>
      </c>
      <c r="Q134" s="47"/>
      <c r="R134" s="47">
        <v>19</v>
      </c>
      <c r="S134" s="47"/>
      <c r="T134" s="47"/>
      <c r="U134" s="47"/>
      <c r="V134" s="48"/>
      <c r="W134" s="48"/>
      <c r="X134" s="48">
        <v>1</v>
      </c>
      <c r="Y134" s="48"/>
      <c r="Z134" s="48"/>
      <c r="AA134" s="48"/>
      <c r="AB134" s="47"/>
      <c r="AC134" s="47"/>
      <c r="AD134" s="47"/>
      <c r="AE134" s="47"/>
      <c r="AF134" s="47"/>
      <c r="AG134" s="47"/>
      <c r="AH134" s="48"/>
      <c r="AI134" s="48"/>
      <c r="AJ134" s="48"/>
      <c r="AK134" s="48"/>
      <c r="AL134" s="48"/>
      <c r="AM134" s="48"/>
      <c r="AN134" s="50"/>
      <c r="AO134" s="51">
        <f t="shared" si="17"/>
        <v>105</v>
      </c>
      <c r="AP134" s="306">
        <f t="shared" si="18"/>
        <v>105</v>
      </c>
    </row>
    <row r="135" spans="1:44" ht="21" x14ac:dyDescent="0.35">
      <c r="A135" s="77">
        <v>10</v>
      </c>
      <c r="B135" s="5" t="s">
        <v>729</v>
      </c>
      <c r="C135" s="92" t="s">
        <v>186</v>
      </c>
      <c r="D135" s="53"/>
      <c r="E135" s="53"/>
      <c r="F135" s="53"/>
      <c r="G135" s="53"/>
      <c r="H135" s="53"/>
      <c r="I135" s="53"/>
      <c r="J135" s="54"/>
      <c r="K135" s="54"/>
      <c r="L135" s="54"/>
      <c r="M135" s="54"/>
      <c r="N135" s="54"/>
      <c r="O135" s="54"/>
      <c r="P135" s="53"/>
      <c r="Q135" s="53"/>
      <c r="R135" s="53"/>
      <c r="S135" s="53"/>
      <c r="T135" s="53"/>
      <c r="U135" s="53"/>
      <c r="V135" s="54"/>
      <c r="W135" s="54"/>
      <c r="X135" s="54"/>
      <c r="Y135" s="54"/>
      <c r="Z135" s="54"/>
      <c r="AA135" s="54"/>
      <c r="AB135" s="53"/>
      <c r="AC135" s="53"/>
      <c r="AD135" s="53"/>
      <c r="AE135" s="53"/>
      <c r="AF135" s="53"/>
      <c r="AG135" s="53"/>
      <c r="AH135" s="54"/>
      <c r="AI135" s="54"/>
      <c r="AJ135" s="54"/>
      <c r="AK135" s="54"/>
      <c r="AL135" s="54"/>
      <c r="AM135" s="54"/>
      <c r="AN135" s="74"/>
      <c r="AO135" s="51">
        <f t="shared" si="17"/>
        <v>0</v>
      </c>
      <c r="AP135" s="306">
        <f t="shared" si="18"/>
        <v>0</v>
      </c>
    </row>
    <row r="136" spans="1:44" ht="21" x14ac:dyDescent="0.35">
      <c r="A136" s="77">
        <v>11</v>
      </c>
      <c r="B136" s="5" t="s">
        <v>729</v>
      </c>
      <c r="C136" s="92" t="s">
        <v>187</v>
      </c>
      <c r="D136" s="47">
        <v>10</v>
      </c>
      <c r="E136" s="47"/>
      <c r="F136" s="47">
        <v>1</v>
      </c>
      <c r="G136" s="47"/>
      <c r="H136" s="47"/>
      <c r="I136" s="47">
        <v>2</v>
      </c>
      <c r="J136" s="48"/>
      <c r="K136" s="48">
        <v>2</v>
      </c>
      <c r="L136" s="48">
        <v>1</v>
      </c>
      <c r="M136" s="48">
        <v>23</v>
      </c>
      <c r="N136" s="48"/>
      <c r="O136" s="48"/>
      <c r="P136" s="47">
        <v>34</v>
      </c>
      <c r="Q136" s="47"/>
      <c r="R136" s="47">
        <v>22</v>
      </c>
      <c r="S136" s="47"/>
      <c r="T136" s="47"/>
      <c r="U136" s="47"/>
      <c r="V136" s="48"/>
      <c r="W136" s="48"/>
      <c r="X136" s="48"/>
      <c r="Y136" s="48">
        <v>2</v>
      </c>
      <c r="Z136" s="48"/>
      <c r="AA136" s="48"/>
      <c r="AB136" s="47"/>
      <c r="AC136" s="47"/>
      <c r="AD136" s="47">
        <v>1</v>
      </c>
      <c r="AE136" s="47"/>
      <c r="AF136" s="47"/>
      <c r="AG136" s="47"/>
      <c r="AH136" s="48">
        <v>1</v>
      </c>
      <c r="AI136" s="48"/>
      <c r="AJ136" s="48"/>
      <c r="AK136" s="48"/>
      <c r="AL136" s="48"/>
      <c r="AM136" s="48"/>
      <c r="AN136" s="50"/>
      <c r="AO136" s="51">
        <f t="shared" si="17"/>
        <v>99</v>
      </c>
      <c r="AP136" s="306">
        <f t="shared" si="18"/>
        <v>99</v>
      </c>
    </row>
    <row r="137" spans="1:44" ht="21" x14ac:dyDescent="0.35">
      <c r="A137" s="77">
        <v>12</v>
      </c>
      <c r="B137" s="5" t="s">
        <v>729</v>
      </c>
      <c r="C137" s="92" t="s">
        <v>188</v>
      </c>
      <c r="D137" s="71">
        <v>4</v>
      </c>
      <c r="E137" s="71"/>
      <c r="F137" s="71"/>
      <c r="G137" s="71"/>
      <c r="H137" s="71"/>
      <c r="I137" s="71">
        <v>1</v>
      </c>
      <c r="J137" s="72"/>
      <c r="K137" s="72">
        <v>1</v>
      </c>
      <c r="L137" s="72"/>
      <c r="M137" s="72">
        <v>4</v>
      </c>
      <c r="N137" s="72"/>
      <c r="O137" s="72"/>
      <c r="P137" s="71">
        <v>3</v>
      </c>
      <c r="Q137" s="71"/>
      <c r="R137" s="71">
        <v>3</v>
      </c>
      <c r="S137" s="71"/>
      <c r="T137" s="71"/>
      <c r="U137" s="71"/>
      <c r="V137" s="72"/>
      <c r="W137" s="72"/>
      <c r="X137" s="72"/>
      <c r="Y137" s="72"/>
      <c r="Z137" s="72"/>
      <c r="AA137" s="72"/>
      <c r="AB137" s="71"/>
      <c r="AC137" s="71"/>
      <c r="AD137" s="71"/>
      <c r="AE137" s="71"/>
      <c r="AF137" s="71"/>
      <c r="AG137" s="71"/>
      <c r="AH137" s="72"/>
      <c r="AI137" s="72"/>
      <c r="AJ137" s="72"/>
      <c r="AK137" s="72"/>
      <c r="AL137" s="72"/>
      <c r="AM137" s="72"/>
      <c r="AN137" s="73"/>
      <c r="AO137" s="51">
        <f t="shared" si="17"/>
        <v>16</v>
      </c>
      <c r="AP137" s="306">
        <f t="shared" si="18"/>
        <v>16</v>
      </c>
    </row>
    <row r="138" spans="1:44" ht="21" x14ac:dyDescent="0.35">
      <c r="A138" s="77">
        <v>13</v>
      </c>
      <c r="B138" s="5" t="s">
        <v>729</v>
      </c>
      <c r="C138" s="92" t="s">
        <v>189</v>
      </c>
      <c r="D138" s="47">
        <v>4</v>
      </c>
      <c r="E138" s="47"/>
      <c r="F138" s="47"/>
      <c r="G138" s="47"/>
      <c r="H138" s="47"/>
      <c r="I138" s="47"/>
      <c r="J138" s="48"/>
      <c r="K138" s="48">
        <v>1</v>
      </c>
      <c r="L138" s="48"/>
      <c r="M138" s="48">
        <v>3</v>
      </c>
      <c r="N138" s="48"/>
      <c r="O138" s="48"/>
      <c r="P138" s="47">
        <v>6</v>
      </c>
      <c r="Q138" s="47"/>
      <c r="R138" s="47">
        <v>7</v>
      </c>
      <c r="S138" s="47"/>
      <c r="T138" s="47"/>
      <c r="U138" s="47"/>
      <c r="V138" s="48"/>
      <c r="W138" s="48"/>
      <c r="X138" s="48"/>
      <c r="Y138" s="48"/>
      <c r="Z138" s="48"/>
      <c r="AA138" s="48"/>
      <c r="AB138" s="47"/>
      <c r="AC138" s="47"/>
      <c r="AD138" s="47"/>
      <c r="AE138" s="47"/>
      <c r="AF138" s="47"/>
      <c r="AG138" s="47"/>
      <c r="AH138" s="48"/>
      <c r="AI138" s="48"/>
      <c r="AJ138" s="48"/>
      <c r="AK138" s="48"/>
      <c r="AL138" s="48"/>
      <c r="AM138" s="48"/>
      <c r="AN138" s="50"/>
      <c r="AO138" s="51">
        <f t="shared" si="17"/>
        <v>21</v>
      </c>
      <c r="AP138" s="306">
        <f t="shared" si="18"/>
        <v>21</v>
      </c>
    </row>
    <row r="139" spans="1:44" ht="21" x14ac:dyDescent="0.35">
      <c r="A139" s="77">
        <v>14</v>
      </c>
      <c r="B139" s="5" t="s">
        <v>729</v>
      </c>
      <c r="C139" s="92" t="s">
        <v>190</v>
      </c>
      <c r="D139" s="95">
        <v>11</v>
      </c>
      <c r="E139" s="95"/>
      <c r="F139" s="95">
        <v>2</v>
      </c>
      <c r="G139" s="95"/>
      <c r="H139" s="95"/>
      <c r="I139" s="95">
        <v>1</v>
      </c>
      <c r="J139" s="96"/>
      <c r="K139" s="96">
        <v>4</v>
      </c>
      <c r="L139" s="96"/>
      <c r="M139" s="96">
        <v>20</v>
      </c>
      <c r="N139" s="96"/>
      <c r="O139" s="96"/>
      <c r="P139" s="95">
        <v>25</v>
      </c>
      <c r="Q139" s="95"/>
      <c r="R139" s="95">
        <v>9</v>
      </c>
      <c r="S139" s="95"/>
      <c r="T139" s="95"/>
      <c r="U139" s="95"/>
      <c r="V139" s="96"/>
      <c r="W139" s="96"/>
      <c r="X139" s="96">
        <v>1</v>
      </c>
      <c r="Y139" s="96"/>
      <c r="Z139" s="96"/>
      <c r="AA139" s="96"/>
      <c r="AB139" s="95"/>
      <c r="AC139" s="95"/>
      <c r="AD139" s="95">
        <v>1</v>
      </c>
      <c r="AE139" s="95"/>
      <c r="AF139" s="95"/>
      <c r="AG139" s="95"/>
      <c r="AH139" s="96"/>
      <c r="AI139" s="96"/>
      <c r="AJ139" s="96"/>
      <c r="AK139" s="96"/>
      <c r="AL139" s="96"/>
      <c r="AM139" s="96"/>
      <c r="AN139" s="97"/>
      <c r="AO139" s="51">
        <f t="shared" si="17"/>
        <v>74</v>
      </c>
      <c r="AP139" s="306">
        <f t="shared" si="18"/>
        <v>74</v>
      </c>
    </row>
    <row r="140" spans="1:44" ht="21" x14ac:dyDescent="0.35">
      <c r="A140" s="77">
        <v>15</v>
      </c>
      <c r="B140" s="5" t="s">
        <v>729</v>
      </c>
      <c r="C140" s="92" t="s">
        <v>191</v>
      </c>
      <c r="D140" s="47">
        <v>1</v>
      </c>
      <c r="E140" s="47"/>
      <c r="F140" s="47">
        <v>1</v>
      </c>
      <c r="G140" s="47"/>
      <c r="H140" s="47"/>
      <c r="I140" s="47"/>
      <c r="J140" s="48"/>
      <c r="K140" s="48">
        <v>1</v>
      </c>
      <c r="L140" s="48"/>
      <c r="M140" s="48">
        <v>2</v>
      </c>
      <c r="N140" s="48"/>
      <c r="O140" s="48"/>
      <c r="P140" s="47">
        <v>4</v>
      </c>
      <c r="Q140" s="47"/>
      <c r="R140" s="47">
        <v>1</v>
      </c>
      <c r="S140" s="47"/>
      <c r="T140" s="47"/>
      <c r="U140" s="47"/>
      <c r="V140" s="48"/>
      <c r="W140" s="48"/>
      <c r="X140" s="48"/>
      <c r="Y140" s="48"/>
      <c r="Z140" s="48"/>
      <c r="AA140" s="48"/>
      <c r="AB140" s="47"/>
      <c r="AC140" s="47"/>
      <c r="AD140" s="47"/>
      <c r="AE140" s="47"/>
      <c r="AF140" s="47"/>
      <c r="AG140" s="47"/>
      <c r="AH140" s="48"/>
      <c r="AI140" s="48"/>
      <c r="AJ140" s="48"/>
      <c r="AK140" s="48"/>
      <c r="AL140" s="48"/>
      <c r="AM140" s="48"/>
      <c r="AN140" s="50"/>
      <c r="AO140" s="51">
        <f t="shared" si="17"/>
        <v>10</v>
      </c>
      <c r="AP140" s="306">
        <f t="shared" si="18"/>
        <v>10</v>
      </c>
    </row>
    <row r="141" spans="1:44" ht="21" x14ac:dyDescent="0.35">
      <c r="A141" s="77">
        <v>16</v>
      </c>
      <c r="B141" s="5" t="s">
        <v>729</v>
      </c>
      <c r="C141" s="92" t="s">
        <v>192</v>
      </c>
      <c r="D141" s="47"/>
      <c r="E141" s="47"/>
      <c r="F141" s="47"/>
      <c r="G141" s="47"/>
      <c r="H141" s="47"/>
      <c r="I141" s="47"/>
      <c r="J141" s="48"/>
      <c r="K141" s="48"/>
      <c r="L141" s="48"/>
      <c r="M141" s="48">
        <v>1</v>
      </c>
      <c r="N141" s="48"/>
      <c r="O141" s="48"/>
      <c r="P141" s="47">
        <v>2</v>
      </c>
      <c r="Q141" s="47"/>
      <c r="R141" s="47">
        <v>6</v>
      </c>
      <c r="S141" s="47"/>
      <c r="T141" s="47"/>
      <c r="U141" s="47"/>
      <c r="V141" s="48"/>
      <c r="W141" s="48"/>
      <c r="X141" s="48"/>
      <c r="Y141" s="48"/>
      <c r="Z141" s="48"/>
      <c r="AA141" s="48"/>
      <c r="AB141" s="47"/>
      <c r="AC141" s="47"/>
      <c r="AD141" s="47"/>
      <c r="AE141" s="47"/>
      <c r="AF141" s="47"/>
      <c r="AG141" s="47"/>
      <c r="AH141" s="48"/>
      <c r="AI141" s="48"/>
      <c r="AJ141" s="48"/>
      <c r="AK141" s="48"/>
      <c r="AL141" s="48"/>
      <c r="AM141" s="48"/>
      <c r="AN141" s="50"/>
      <c r="AO141" s="51">
        <f t="shared" si="17"/>
        <v>9</v>
      </c>
      <c r="AP141" s="306">
        <f t="shared" si="18"/>
        <v>9</v>
      </c>
    </row>
    <row r="142" spans="1:44" ht="21" x14ac:dyDescent="0.35">
      <c r="A142" s="77">
        <v>17</v>
      </c>
      <c r="B142" s="5" t="s">
        <v>729</v>
      </c>
      <c r="C142" s="92" t="s">
        <v>193</v>
      </c>
      <c r="D142" s="47"/>
      <c r="E142" s="47"/>
      <c r="F142" s="47"/>
      <c r="G142" s="47"/>
      <c r="H142" s="47"/>
      <c r="I142" s="47"/>
      <c r="J142" s="48"/>
      <c r="K142" s="48"/>
      <c r="L142" s="48"/>
      <c r="M142" s="48">
        <v>3</v>
      </c>
      <c r="N142" s="48"/>
      <c r="O142" s="48"/>
      <c r="P142" s="47"/>
      <c r="Q142" s="47"/>
      <c r="R142" s="47">
        <v>5</v>
      </c>
      <c r="S142" s="47"/>
      <c r="T142" s="47"/>
      <c r="U142" s="47"/>
      <c r="V142" s="48"/>
      <c r="W142" s="48"/>
      <c r="X142" s="48"/>
      <c r="Y142" s="48"/>
      <c r="Z142" s="48">
        <v>1</v>
      </c>
      <c r="AA142" s="48"/>
      <c r="AB142" s="47"/>
      <c r="AC142" s="47"/>
      <c r="AD142" s="47"/>
      <c r="AE142" s="47"/>
      <c r="AF142" s="47"/>
      <c r="AG142" s="47"/>
      <c r="AH142" s="48"/>
      <c r="AI142" s="48"/>
      <c r="AJ142" s="48"/>
      <c r="AK142" s="48"/>
      <c r="AL142" s="48"/>
      <c r="AM142" s="48"/>
      <c r="AN142" s="50"/>
      <c r="AO142" s="51">
        <f t="shared" si="17"/>
        <v>9</v>
      </c>
      <c r="AP142" s="306">
        <f t="shared" si="18"/>
        <v>9</v>
      </c>
    </row>
    <row r="143" spans="1:44" ht="21" x14ac:dyDescent="0.35">
      <c r="A143" s="98">
        <v>1</v>
      </c>
      <c r="B143" s="5" t="s">
        <v>694</v>
      </c>
      <c r="C143" s="99" t="s">
        <v>194</v>
      </c>
      <c r="D143" s="46">
        <v>25</v>
      </c>
      <c r="E143" s="47"/>
      <c r="F143" s="47">
        <v>5</v>
      </c>
      <c r="G143" s="47"/>
      <c r="H143" s="47"/>
      <c r="I143" s="47">
        <v>1</v>
      </c>
      <c r="J143" s="48"/>
      <c r="K143" s="48">
        <v>1</v>
      </c>
      <c r="L143" s="48">
        <v>12</v>
      </c>
      <c r="M143" s="48">
        <v>161</v>
      </c>
      <c r="N143" s="48">
        <v>1</v>
      </c>
      <c r="O143" s="48"/>
      <c r="P143" s="47">
        <v>78</v>
      </c>
      <c r="Q143" s="47"/>
      <c r="R143" s="47">
        <v>36</v>
      </c>
      <c r="S143" s="47"/>
      <c r="T143" s="47"/>
      <c r="U143" s="47"/>
      <c r="V143" s="48"/>
      <c r="W143" s="48"/>
      <c r="X143" s="48">
        <v>3</v>
      </c>
      <c r="Y143" s="48"/>
      <c r="Z143" s="48"/>
      <c r="AA143" s="48">
        <v>2</v>
      </c>
      <c r="AB143" s="47"/>
      <c r="AC143" s="47">
        <v>6</v>
      </c>
      <c r="AD143" s="47">
        <v>1</v>
      </c>
      <c r="AE143" s="47">
        <v>1</v>
      </c>
      <c r="AF143" s="47"/>
      <c r="AG143" s="47">
        <v>3</v>
      </c>
      <c r="AH143" s="48">
        <v>1</v>
      </c>
      <c r="AI143" s="48"/>
      <c r="AJ143" s="48"/>
      <c r="AK143" s="48"/>
      <c r="AL143" s="48"/>
      <c r="AM143" s="48"/>
      <c r="AN143" s="50">
        <v>3</v>
      </c>
      <c r="AO143" s="51" t="s">
        <v>195</v>
      </c>
      <c r="AP143" t="s">
        <v>196</v>
      </c>
      <c r="AQ143" t="s">
        <v>196</v>
      </c>
      <c r="AR143" s="305">
        <f>D143+E143+F143+G143+H143+I143+J143+K143+L143+M143+N143+O143+P143+Q143+R143+S143+T143+U143+V143+W143+X143+Y143+Z143+AA143+AB143+AC143+AD143+AE143+AF143+AG143+AH143+AI143+AJ143+AK143+AL143+AM143+AN143</f>
        <v>340</v>
      </c>
    </row>
    <row r="144" spans="1:44" ht="21" x14ac:dyDescent="0.35">
      <c r="A144" s="77">
        <v>2</v>
      </c>
      <c r="B144" s="5" t="s">
        <v>694</v>
      </c>
      <c r="C144" s="99" t="s">
        <v>197</v>
      </c>
      <c r="D144" s="46">
        <v>1</v>
      </c>
      <c r="E144" s="47"/>
      <c r="F144" s="47"/>
      <c r="G144" s="47"/>
      <c r="H144" s="47"/>
      <c r="I144" s="47"/>
      <c r="J144" s="48"/>
      <c r="K144" s="48"/>
      <c r="L144" s="48">
        <v>1</v>
      </c>
      <c r="M144" s="48">
        <v>4</v>
      </c>
      <c r="N144" s="48"/>
      <c r="O144" s="48"/>
      <c r="P144" s="47">
        <v>6</v>
      </c>
      <c r="Q144" s="47"/>
      <c r="R144" s="47">
        <v>9</v>
      </c>
      <c r="S144" s="47"/>
      <c r="T144" s="47"/>
      <c r="U144" s="47"/>
      <c r="V144" s="48"/>
      <c r="W144" s="48"/>
      <c r="X144" s="48"/>
      <c r="Y144" s="48"/>
      <c r="Z144" s="48"/>
      <c r="AA144" s="48"/>
      <c r="AB144" s="47"/>
      <c r="AC144" s="47"/>
      <c r="AD144" s="47"/>
      <c r="AE144" s="47"/>
      <c r="AF144" s="47"/>
      <c r="AG144" s="47"/>
      <c r="AH144" s="48"/>
      <c r="AI144" s="48"/>
      <c r="AJ144" s="48"/>
      <c r="AK144" s="48"/>
      <c r="AL144" s="48"/>
      <c r="AM144" s="48"/>
      <c r="AN144" s="50"/>
      <c r="AO144" s="51">
        <f>SUM(D144:AN144)</f>
        <v>21</v>
      </c>
      <c r="AR144" s="305">
        <f t="shared" ref="AR144:AR150" si="19">D144+E144+F144+G144+H144+I144+J144+K144+L144+M144+N144+O144+P144+Q144+R144+S144+T144+U144+V144+W144+X144+Y144+Z144+AA144+AB144+AC144+AD144+AE144+AF144+AG144+AH144+AI144+AJ144+AK144+AL144+AM144+AN144</f>
        <v>21</v>
      </c>
    </row>
    <row r="145" spans="1:44" ht="21" x14ac:dyDescent="0.35">
      <c r="A145" s="77">
        <v>3</v>
      </c>
      <c r="B145" s="5" t="s">
        <v>694</v>
      </c>
      <c r="C145" s="99" t="s">
        <v>198</v>
      </c>
      <c r="D145" s="46">
        <v>3</v>
      </c>
      <c r="E145" s="47"/>
      <c r="F145" s="47"/>
      <c r="G145" s="47"/>
      <c r="H145" s="47"/>
      <c r="I145" s="47"/>
      <c r="J145" s="48"/>
      <c r="K145" s="48">
        <v>1</v>
      </c>
      <c r="L145" s="48"/>
      <c r="M145" s="48">
        <v>5</v>
      </c>
      <c r="N145" s="48"/>
      <c r="O145" s="48"/>
      <c r="P145" s="47">
        <v>15</v>
      </c>
      <c r="Q145" s="47"/>
      <c r="R145" s="47">
        <v>18</v>
      </c>
      <c r="S145" s="47"/>
      <c r="T145" s="47"/>
      <c r="U145" s="47"/>
      <c r="V145" s="48"/>
      <c r="W145" s="48"/>
      <c r="X145" s="48"/>
      <c r="Y145" s="48"/>
      <c r="Z145" s="48"/>
      <c r="AA145" s="48"/>
      <c r="AB145" s="47"/>
      <c r="AC145" s="47"/>
      <c r="AD145" s="47"/>
      <c r="AE145" s="47"/>
      <c r="AF145" s="47"/>
      <c r="AG145" s="47"/>
      <c r="AH145" s="48"/>
      <c r="AI145" s="48"/>
      <c r="AJ145" s="48"/>
      <c r="AK145" s="48"/>
      <c r="AL145" s="48"/>
      <c r="AM145" s="48"/>
      <c r="AN145" s="50"/>
      <c r="AO145" s="51">
        <f>SUM(D145:AN145)</f>
        <v>42</v>
      </c>
      <c r="AR145" s="305">
        <f t="shared" si="19"/>
        <v>42</v>
      </c>
    </row>
    <row r="146" spans="1:44" ht="21" x14ac:dyDescent="0.35">
      <c r="A146" s="77">
        <v>4</v>
      </c>
      <c r="B146" s="5" t="s">
        <v>694</v>
      </c>
      <c r="C146" s="99" t="s">
        <v>199</v>
      </c>
      <c r="D146" s="46">
        <v>13</v>
      </c>
      <c r="E146" s="47"/>
      <c r="F146" s="47">
        <v>11</v>
      </c>
      <c r="G146" s="47"/>
      <c r="H146" s="47"/>
      <c r="I146" s="47"/>
      <c r="J146" s="48"/>
      <c r="K146" s="48">
        <v>23</v>
      </c>
      <c r="L146" s="48">
        <v>2</v>
      </c>
      <c r="M146" s="48">
        <v>93</v>
      </c>
      <c r="N146" s="48">
        <v>4</v>
      </c>
      <c r="O146" s="48"/>
      <c r="P146" s="47">
        <v>63</v>
      </c>
      <c r="Q146" s="47"/>
      <c r="R146" s="47">
        <v>68</v>
      </c>
      <c r="S146" s="47"/>
      <c r="T146" s="47"/>
      <c r="U146" s="47"/>
      <c r="V146" s="48"/>
      <c r="W146" s="48"/>
      <c r="X146" s="48">
        <v>4</v>
      </c>
      <c r="Y146" s="48"/>
      <c r="Z146" s="48">
        <v>1</v>
      </c>
      <c r="AA146" s="48"/>
      <c r="AB146" s="47"/>
      <c r="AC146" s="47"/>
      <c r="AD146" s="47"/>
      <c r="AE146" s="47">
        <v>4</v>
      </c>
      <c r="AF146" s="47"/>
      <c r="AG146" s="47">
        <v>4</v>
      </c>
      <c r="AH146" s="48">
        <v>4</v>
      </c>
      <c r="AI146" s="48"/>
      <c r="AJ146" s="48"/>
      <c r="AK146" s="48"/>
      <c r="AL146" s="48"/>
      <c r="AM146" s="48"/>
      <c r="AN146" s="50">
        <v>2</v>
      </c>
      <c r="AO146" s="51" t="s">
        <v>200</v>
      </c>
      <c r="AP146">
        <f>SUM(D146:AN146)</f>
        <v>296</v>
      </c>
      <c r="AR146" s="305">
        <f t="shared" si="19"/>
        <v>296</v>
      </c>
    </row>
    <row r="147" spans="1:44" ht="21" x14ac:dyDescent="0.35">
      <c r="A147" s="77">
        <v>5</v>
      </c>
      <c r="B147" s="5" t="s">
        <v>694</v>
      </c>
      <c r="C147" s="99" t="s">
        <v>201</v>
      </c>
      <c r="D147" s="57">
        <v>12</v>
      </c>
      <c r="E147" s="57"/>
      <c r="F147" s="58">
        <v>1</v>
      </c>
      <c r="G147" s="57"/>
      <c r="H147" s="57"/>
      <c r="I147" s="57"/>
      <c r="J147" s="55"/>
      <c r="K147" s="55">
        <v>2</v>
      </c>
      <c r="L147" s="59">
        <v>2</v>
      </c>
      <c r="M147" s="55">
        <v>15</v>
      </c>
      <c r="N147" s="55"/>
      <c r="O147" s="55"/>
      <c r="P147" s="57">
        <v>6</v>
      </c>
      <c r="Q147" s="57"/>
      <c r="R147" s="57">
        <v>10</v>
      </c>
      <c r="S147" s="57"/>
      <c r="T147" s="57"/>
      <c r="U147" s="57"/>
      <c r="V147" s="55"/>
      <c r="W147" s="55"/>
      <c r="X147" s="55"/>
      <c r="Y147" s="55"/>
      <c r="Z147" s="55"/>
      <c r="AA147" s="55"/>
      <c r="AB147" s="57"/>
      <c r="AC147" s="57"/>
      <c r="AD147" s="57">
        <v>1</v>
      </c>
      <c r="AE147" s="57"/>
      <c r="AF147" s="57"/>
      <c r="AG147" s="57"/>
      <c r="AH147" s="55"/>
      <c r="AI147" s="55"/>
      <c r="AJ147" s="55"/>
      <c r="AK147" s="55"/>
      <c r="AL147" s="55"/>
      <c r="AM147" s="55"/>
      <c r="AN147" s="60"/>
      <c r="AO147" s="51" t="s">
        <v>202</v>
      </c>
      <c r="AP147">
        <f>SUM(D147:AN147)</f>
        <v>49</v>
      </c>
      <c r="AR147" s="305">
        <f t="shared" si="19"/>
        <v>49</v>
      </c>
    </row>
    <row r="148" spans="1:44" ht="21" x14ac:dyDescent="0.35">
      <c r="A148" s="77">
        <v>6</v>
      </c>
      <c r="B148" s="5" t="s">
        <v>694</v>
      </c>
      <c r="C148" s="99" t="s">
        <v>203</v>
      </c>
      <c r="D148" s="46">
        <v>11</v>
      </c>
      <c r="E148" s="47"/>
      <c r="F148" s="47">
        <v>2</v>
      </c>
      <c r="G148" s="47"/>
      <c r="H148" s="47"/>
      <c r="I148" s="47">
        <v>1</v>
      </c>
      <c r="J148" s="48"/>
      <c r="K148" s="48"/>
      <c r="L148" s="48"/>
      <c r="M148" s="48">
        <v>13</v>
      </c>
      <c r="N148" s="48"/>
      <c r="O148" s="48"/>
      <c r="P148" s="47">
        <v>56</v>
      </c>
      <c r="Q148" s="47"/>
      <c r="R148" s="47">
        <v>27</v>
      </c>
      <c r="S148" s="47"/>
      <c r="T148" s="47"/>
      <c r="U148" s="47"/>
      <c r="V148" s="48"/>
      <c r="W148" s="48"/>
      <c r="X148" s="48">
        <v>1</v>
      </c>
      <c r="Y148" s="48"/>
      <c r="Z148" s="48"/>
      <c r="AA148" s="48"/>
      <c r="AB148" s="47"/>
      <c r="AC148" s="47"/>
      <c r="AD148" s="47"/>
      <c r="AE148" s="47"/>
      <c r="AF148" s="47"/>
      <c r="AG148" s="47"/>
      <c r="AH148" s="48">
        <v>1</v>
      </c>
      <c r="AI148" s="48"/>
      <c r="AJ148" s="48"/>
      <c r="AK148" s="48"/>
      <c r="AL148" s="48"/>
      <c r="AM148" s="48"/>
      <c r="AN148" s="50"/>
      <c r="AO148" s="51">
        <f t="shared" ref="AO148:AO153" si="20">SUM(D148:AN148)</f>
        <v>112</v>
      </c>
      <c r="AR148" s="305">
        <f t="shared" si="19"/>
        <v>112</v>
      </c>
    </row>
    <row r="149" spans="1:44" ht="21" x14ac:dyDescent="0.35">
      <c r="A149" s="77">
        <v>7</v>
      </c>
      <c r="B149" s="5" t="s">
        <v>694</v>
      </c>
      <c r="C149" s="99" t="s">
        <v>204</v>
      </c>
      <c r="D149" s="46">
        <v>2</v>
      </c>
      <c r="E149" s="47"/>
      <c r="F149" s="47"/>
      <c r="G149" s="47"/>
      <c r="H149" s="47"/>
      <c r="I149" s="47"/>
      <c r="J149" s="48"/>
      <c r="K149" s="48">
        <v>1</v>
      </c>
      <c r="L149" s="48"/>
      <c r="M149" s="48">
        <v>8</v>
      </c>
      <c r="N149" s="48"/>
      <c r="O149" s="48"/>
      <c r="P149" s="47">
        <v>11</v>
      </c>
      <c r="Q149" s="47"/>
      <c r="R149" s="47">
        <v>5</v>
      </c>
      <c r="S149" s="47"/>
      <c r="T149" s="47"/>
      <c r="U149" s="47"/>
      <c r="V149" s="48"/>
      <c r="W149" s="48"/>
      <c r="X149" s="48"/>
      <c r="Y149" s="48"/>
      <c r="Z149" s="48"/>
      <c r="AA149" s="48"/>
      <c r="AB149" s="47"/>
      <c r="AC149" s="47"/>
      <c r="AD149" s="47"/>
      <c r="AE149" s="47"/>
      <c r="AF149" s="47"/>
      <c r="AG149" s="47"/>
      <c r="AH149" s="48"/>
      <c r="AI149" s="48"/>
      <c r="AJ149" s="48"/>
      <c r="AK149" s="48"/>
      <c r="AL149" s="48"/>
      <c r="AM149" s="48"/>
      <c r="AN149" s="50"/>
      <c r="AO149" s="51">
        <f t="shared" si="20"/>
        <v>27</v>
      </c>
      <c r="AR149" s="305">
        <f t="shared" si="19"/>
        <v>27</v>
      </c>
    </row>
    <row r="150" spans="1:44" ht="21" x14ac:dyDescent="0.35">
      <c r="A150" s="77">
        <v>8</v>
      </c>
      <c r="B150" s="5" t="s">
        <v>694</v>
      </c>
      <c r="C150" s="99" t="s">
        <v>205</v>
      </c>
      <c r="D150" s="46">
        <v>58</v>
      </c>
      <c r="E150" s="47"/>
      <c r="F150" s="47">
        <v>8</v>
      </c>
      <c r="G150" s="57"/>
      <c r="H150" s="57"/>
      <c r="I150" s="57">
        <v>3</v>
      </c>
      <c r="J150" s="48"/>
      <c r="K150" s="48">
        <v>18</v>
      </c>
      <c r="L150" s="48">
        <v>15</v>
      </c>
      <c r="M150" s="55">
        <v>252</v>
      </c>
      <c r="N150" s="55">
        <v>1</v>
      </c>
      <c r="O150" s="55">
        <v>2</v>
      </c>
      <c r="P150" s="47">
        <v>157</v>
      </c>
      <c r="Q150" s="47"/>
      <c r="R150" s="47">
        <v>105</v>
      </c>
      <c r="S150" s="57"/>
      <c r="T150" s="57"/>
      <c r="U150" s="57">
        <v>1</v>
      </c>
      <c r="V150" s="48"/>
      <c r="W150" s="48"/>
      <c r="X150" s="48">
        <v>8</v>
      </c>
      <c r="Y150" s="55"/>
      <c r="Z150" s="55">
        <v>1</v>
      </c>
      <c r="AA150" s="55"/>
      <c r="AB150" s="47"/>
      <c r="AC150" s="47">
        <v>3</v>
      </c>
      <c r="AD150" s="47"/>
      <c r="AE150" s="57">
        <v>1</v>
      </c>
      <c r="AF150" s="57">
        <v>1</v>
      </c>
      <c r="AG150" s="57"/>
      <c r="AH150" s="48">
        <v>1</v>
      </c>
      <c r="AI150" s="48"/>
      <c r="AJ150" s="48"/>
      <c r="AK150" s="55"/>
      <c r="AL150" s="55"/>
      <c r="AM150" s="55"/>
      <c r="AN150" s="60"/>
      <c r="AO150" s="51">
        <f t="shared" si="20"/>
        <v>635</v>
      </c>
      <c r="AR150" s="305">
        <f t="shared" si="19"/>
        <v>635</v>
      </c>
    </row>
    <row r="151" spans="1:44" ht="21" x14ac:dyDescent="0.35">
      <c r="A151" s="77">
        <v>1</v>
      </c>
      <c r="B151" s="5" t="s">
        <v>730</v>
      </c>
      <c r="C151" s="99" t="s">
        <v>206</v>
      </c>
      <c r="D151" s="46">
        <v>2</v>
      </c>
      <c r="E151" s="47"/>
      <c r="F151" s="47">
        <v>2</v>
      </c>
      <c r="G151" s="47"/>
      <c r="H151" s="47"/>
      <c r="I151" s="47"/>
      <c r="J151" s="48"/>
      <c r="K151" s="48"/>
      <c r="L151" s="48"/>
      <c r="M151" s="48">
        <v>3</v>
      </c>
      <c r="N151" s="48"/>
      <c r="O151" s="48"/>
      <c r="P151" s="47">
        <v>2</v>
      </c>
      <c r="Q151" s="47"/>
      <c r="R151" s="47">
        <v>42</v>
      </c>
      <c r="S151" s="47"/>
      <c r="T151" s="47"/>
      <c r="U151" s="47"/>
      <c r="V151" s="48"/>
      <c r="W151" s="48"/>
      <c r="X151" s="48"/>
      <c r="Y151" s="48"/>
      <c r="Z151" s="48"/>
      <c r="AA151" s="48"/>
      <c r="AB151" s="47"/>
      <c r="AC151" s="47"/>
      <c r="AD151" s="47"/>
      <c r="AE151" s="47"/>
      <c r="AF151" s="47"/>
      <c r="AG151" s="47"/>
      <c r="AH151" s="48"/>
      <c r="AI151" s="48"/>
      <c r="AJ151" s="48"/>
      <c r="AK151" s="48"/>
      <c r="AL151" s="48"/>
      <c r="AM151" s="48"/>
      <c r="AN151" s="50"/>
      <c r="AO151" s="51">
        <f t="shared" si="20"/>
        <v>51</v>
      </c>
      <c r="AR151" s="305">
        <f>D151+E151+F151+G151+H151+I151+J151+K151+L151+M151+N151+O151+P151+Q151+R151+S151+T151+U151+V151+W151+X151+Y151+Z151+AA151+AB151+AC151+AD151+AE151+AF151+AG151+AH151+AI151+AJ151+AK151+AL151+AM151+AN151</f>
        <v>51</v>
      </c>
    </row>
    <row r="152" spans="1:44" ht="21" x14ac:dyDescent="0.35">
      <c r="A152" s="77">
        <v>2</v>
      </c>
      <c r="B152" s="5" t="s">
        <v>730</v>
      </c>
      <c r="C152" s="99" t="s">
        <v>207</v>
      </c>
      <c r="D152" s="52"/>
      <c r="E152" s="57"/>
      <c r="F152" s="58"/>
      <c r="G152" s="57"/>
      <c r="H152" s="57"/>
      <c r="I152" s="57"/>
      <c r="J152" s="55"/>
      <c r="K152" s="55">
        <v>1</v>
      </c>
      <c r="L152" s="59"/>
      <c r="M152" s="55"/>
      <c r="N152" s="55"/>
      <c r="O152" s="55"/>
      <c r="P152" s="57">
        <v>2</v>
      </c>
      <c r="Q152" s="57"/>
      <c r="R152" s="57">
        <v>6</v>
      </c>
      <c r="S152" s="57"/>
      <c r="T152" s="57"/>
      <c r="U152" s="57"/>
      <c r="V152" s="55"/>
      <c r="W152" s="55"/>
      <c r="X152" s="55"/>
      <c r="Y152" s="55"/>
      <c r="Z152" s="55"/>
      <c r="AA152" s="55"/>
      <c r="AB152" s="57"/>
      <c r="AC152" s="57"/>
      <c r="AD152" s="57"/>
      <c r="AE152" s="57"/>
      <c r="AF152" s="57"/>
      <c r="AG152" s="57"/>
      <c r="AH152" s="55">
        <v>1</v>
      </c>
      <c r="AI152" s="55"/>
      <c r="AJ152" s="55"/>
      <c r="AK152" s="55"/>
      <c r="AL152" s="55"/>
      <c r="AM152" s="55"/>
      <c r="AN152" s="60"/>
      <c r="AO152" s="51">
        <f t="shared" si="20"/>
        <v>10</v>
      </c>
      <c r="AR152" s="305">
        <f t="shared" ref="AR152:AR167" si="21">D152+E152+F152+G152+H152+I152+J152+K152+L152+M152+N152+O152+P152+Q152+R152+S152+T152+U152+V152+W152+X152+Y152+Z152+AA152+AB152+AC152+AD152+AE152+AF152+AG152+AH152+AI152+AJ152+AK152+AL152+AM152+AN152</f>
        <v>10</v>
      </c>
    </row>
    <row r="153" spans="1:44" ht="21" x14ac:dyDescent="0.35">
      <c r="A153" s="77">
        <v>3</v>
      </c>
      <c r="B153" s="5" t="s">
        <v>730</v>
      </c>
      <c r="C153" s="99" t="s">
        <v>208</v>
      </c>
      <c r="D153" s="52">
        <v>2</v>
      </c>
      <c r="E153" s="57"/>
      <c r="F153" s="58">
        <v>1</v>
      </c>
      <c r="G153" s="57"/>
      <c r="H153" s="57"/>
      <c r="I153" s="57"/>
      <c r="J153" s="55"/>
      <c r="K153" s="55">
        <v>1</v>
      </c>
      <c r="L153" s="59">
        <v>1</v>
      </c>
      <c r="M153" s="55">
        <v>5</v>
      </c>
      <c r="N153" s="55">
        <v>1</v>
      </c>
      <c r="O153" s="55"/>
      <c r="P153" s="57">
        <v>4</v>
      </c>
      <c r="Q153" s="57"/>
      <c r="R153" s="57">
        <v>15</v>
      </c>
      <c r="S153" s="57"/>
      <c r="T153" s="57"/>
      <c r="U153" s="57"/>
      <c r="V153" s="55"/>
      <c r="W153" s="55"/>
      <c r="X153" s="55"/>
      <c r="Y153" s="55"/>
      <c r="Z153" s="55"/>
      <c r="AA153" s="55"/>
      <c r="AB153" s="57"/>
      <c r="AC153" s="57"/>
      <c r="AD153" s="57"/>
      <c r="AE153" s="57"/>
      <c r="AF153" s="57"/>
      <c r="AG153" s="57"/>
      <c r="AH153" s="55"/>
      <c r="AI153" s="55"/>
      <c r="AJ153" s="55"/>
      <c r="AK153" s="55"/>
      <c r="AL153" s="55"/>
      <c r="AM153" s="55"/>
      <c r="AN153" s="60"/>
      <c r="AO153" s="51">
        <f t="shared" si="20"/>
        <v>30</v>
      </c>
      <c r="AR153" s="305">
        <f t="shared" si="21"/>
        <v>30</v>
      </c>
    </row>
    <row r="154" spans="1:44" ht="21" x14ac:dyDescent="0.35">
      <c r="A154" s="77">
        <v>4</v>
      </c>
      <c r="B154" s="5" t="s">
        <v>730</v>
      </c>
      <c r="C154" s="99" t="s">
        <v>209</v>
      </c>
      <c r="D154" s="46">
        <v>6</v>
      </c>
      <c r="E154" s="47"/>
      <c r="F154" s="47">
        <v>3</v>
      </c>
      <c r="G154" s="47"/>
      <c r="H154" s="47"/>
      <c r="I154" s="47">
        <v>2</v>
      </c>
      <c r="J154" s="48"/>
      <c r="K154" s="48">
        <v>2</v>
      </c>
      <c r="L154" s="48">
        <v>4</v>
      </c>
      <c r="M154" s="48">
        <v>7</v>
      </c>
      <c r="N154" s="48">
        <v>1</v>
      </c>
      <c r="O154" s="48"/>
      <c r="P154" s="47">
        <v>17</v>
      </c>
      <c r="Q154" s="47"/>
      <c r="R154" s="47">
        <v>53</v>
      </c>
      <c r="S154" s="47"/>
      <c r="T154" s="47"/>
      <c r="U154" s="47"/>
      <c r="V154" s="48"/>
      <c r="W154" s="48"/>
      <c r="X154" s="48">
        <v>4</v>
      </c>
      <c r="Y154" s="48"/>
      <c r="Z154" s="48"/>
      <c r="AA154" s="48">
        <v>2</v>
      </c>
      <c r="AB154" s="47"/>
      <c r="AC154" s="47"/>
      <c r="AD154" s="47"/>
      <c r="AE154" s="47"/>
      <c r="AF154" s="47"/>
      <c r="AG154" s="47"/>
      <c r="AH154" s="48"/>
      <c r="AI154" s="48"/>
      <c r="AJ154" s="48"/>
      <c r="AK154" s="48"/>
      <c r="AL154" s="48"/>
      <c r="AM154" s="48"/>
      <c r="AN154" s="50">
        <v>1</v>
      </c>
      <c r="AO154" s="51" t="s">
        <v>210</v>
      </c>
      <c r="AP154">
        <f>SUM(D154:AN154)</f>
        <v>102</v>
      </c>
      <c r="AR154" s="305">
        <f t="shared" si="21"/>
        <v>102</v>
      </c>
    </row>
    <row r="155" spans="1:44" ht="21" x14ac:dyDescent="0.35">
      <c r="A155" s="77">
        <v>5</v>
      </c>
      <c r="B155" s="5" t="s">
        <v>730</v>
      </c>
      <c r="C155" s="99" t="s">
        <v>211</v>
      </c>
      <c r="D155" s="100">
        <v>2</v>
      </c>
      <c r="E155" s="101"/>
      <c r="F155" s="101">
        <v>3</v>
      </c>
      <c r="G155" s="101"/>
      <c r="H155" s="101"/>
      <c r="I155" s="101"/>
      <c r="J155" s="102"/>
      <c r="K155" s="102"/>
      <c r="L155" s="102">
        <v>1</v>
      </c>
      <c r="M155" s="102">
        <v>2</v>
      </c>
      <c r="N155" s="102"/>
      <c r="O155" s="102"/>
      <c r="P155" s="101">
        <v>4</v>
      </c>
      <c r="Q155" s="101"/>
      <c r="R155" s="101">
        <v>11</v>
      </c>
      <c r="S155" s="101"/>
      <c r="T155" s="101"/>
      <c r="U155" s="101"/>
      <c r="V155" s="102"/>
      <c r="W155" s="102"/>
      <c r="X155" s="102"/>
      <c r="Y155" s="102"/>
      <c r="Z155" s="102"/>
      <c r="AA155" s="102"/>
      <c r="AB155" s="101"/>
      <c r="AC155" s="101"/>
      <c r="AD155" s="101"/>
      <c r="AE155" s="101">
        <v>1</v>
      </c>
      <c r="AF155" s="101"/>
      <c r="AG155" s="101"/>
      <c r="AH155" s="102"/>
      <c r="AI155" s="102"/>
      <c r="AJ155" s="102"/>
      <c r="AK155" s="102"/>
      <c r="AL155" s="102"/>
      <c r="AM155" s="102"/>
      <c r="AN155" s="103"/>
      <c r="AO155" s="51">
        <f t="shared" ref="AO155:AO167" si="22">SUM(D155:AN155)</f>
        <v>24</v>
      </c>
      <c r="AR155" s="305">
        <f t="shared" si="21"/>
        <v>24</v>
      </c>
    </row>
    <row r="156" spans="1:44" ht="21" x14ac:dyDescent="0.35">
      <c r="A156" s="77">
        <v>6</v>
      </c>
      <c r="B156" s="5" t="s">
        <v>730</v>
      </c>
      <c r="C156" s="99" t="s">
        <v>212</v>
      </c>
      <c r="D156" s="52"/>
      <c r="E156" s="57"/>
      <c r="F156" s="58">
        <v>2</v>
      </c>
      <c r="G156" s="57"/>
      <c r="H156" s="57"/>
      <c r="I156" s="57"/>
      <c r="J156" s="55"/>
      <c r="K156" s="55">
        <v>2</v>
      </c>
      <c r="L156" s="59"/>
      <c r="M156" s="55">
        <v>9</v>
      </c>
      <c r="N156" s="55">
        <v>2</v>
      </c>
      <c r="O156" s="55"/>
      <c r="P156" s="57">
        <v>5</v>
      </c>
      <c r="Q156" s="57"/>
      <c r="R156" s="57">
        <v>40</v>
      </c>
      <c r="S156" s="57"/>
      <c r="T156" s="57"/>
      <c r="U156" s="57"/>
      <c r="V156" s="55"/>
      <c r="W156" s="55"/>
      <c r="X156" s="55"/>
      <c r="Y156" s="55"/>
      <c r="Z156" s="55"/>
      <c r="AA156" s="55">
        <v>4</v>
      </c>
      <c r="AB156" s="57"/>
      <c r="AC156" s="57">
        <v>1</v>
      </c>
      <c r="AD156" s="57">
        <v>1</v>
      </c>
      <c r="AE156" s="57">
        <v>1</v>
      </c>
      <c r="AF156" s="57"/>
      <c r="AG156" s="57"/>
      <c r="AH156" s="55"/>
      <c r="AI156" s="55"/>
      <c r="AJ156" s="55">
        <v>1</v>
      </c>
      <c r="AK156" s="55"/>
      <c r="AL156" s="55"/>
      <c r="AM156" s="55"/>
      <c r="AN156" s="60"/>
      <c r="AO156" s="51">
        <f t="shared" si="22"/>
        <v>68</v>
      </c>
      <c r="AR156" s="305">
        <f t="shared" si="21"/>
        <v>68</v>
      </c>
    </row>
    <row r="157" spans="1:44" ht="21" x14ac:dyDescent="0.35">
      <c r="A157" s="77">
        <v>7</v>
      </c>
      <c r="B157" s="5" t="s">
        <v>730</v>
      </c>
      <c r="C157" s="99" t="s">
        <v>213</v>
      </c>
      <c r="D157" s="46">
        <v>4</v>
      </c>
      <c r="E157" s="47"/>
      <c r="F157" s="47">
        <v>7</v>
      </c>
      <c r="G157" s="47"/>
      <c r="H157" s="47"/>
      <c r="I157" s="47"/>
      <c r="J157" s="48"/>
      <c r="K157" s="48">
        <v>2</v>
      </c>
      <c r="L157" s="48">
        <v>1</v>
      </c>
      <c r="M157" s="48">
        <v>9</v>
      </c>
      <c r="N157" s="48"/>
      <c r="O157" s="48"/>
      <c r="P157" s="47">
        <v>14</v>
      </c>
      <c r="Q157" s="47"/>
      <c r="R157" s="47">
        <v>41</v>
      </c>
      <c r="S157" s="47"/>
      <c r="T157" s="47"/>
      <c r="U157" s="47"/>
      <c r="V157" s="48"/>
      <c r="W157" s="48"/>
      <c r="X157" s="48"/>
      <c r="Y157" s="48">
        <v>1</v>
      </c>
      <c r="Z157" s="48">
        <v>1</v>
      </c>
      <c r="AA157" s="48"/>
      <c r="AB157" s="47">
        <v>2</v>
      </c>
      <c r="AC157" s="47"/>
      <c r="AD157" s="47"/>
      <c r="AE157" s="47"/>
      <c r="AF157" s="47">
        <v>1</v>
      </c>
      <c r="AG157" s="47">
        <v>2</v>
      </c>
      <c r="AH157" s="48">
        <v>1</v>
      </c>
      <c r="AI157" s="48"/>
      <c r="AJ157" s="48"/>
      <c r="AK157" s="48"/>
      <c r="AL157" s="48"/>
      <c r="AM157" s="48"/>
      <c r="AN157" s="50"/>
      <c r="AO157" s="51">
        <f t="shared" si="22"/>
        <v>86</v>
      </c>
      <c r="AR157" s="305">
        <f t="shared" si="21"/>
        <v>86</v>
      </c>
    </row>
    <row r="158" spans="1:44" ht="21" x14ac:dyDescent="0.35">
      <c r="A158" s="77">
        <v>8</v>
      </c>
      <c r="B158" s="5" t="s">
        <v>730</v>
      </c>
      <c r="C158" s="99" t="s">
        <v>214</v>
      </c>
      <c r="D158" s="46"/>
      <c r="E158" s="47"/>
      <c r="F158" s="47"/>
      <c r="G158" s="47"/>
      <c r="H158" s="47"/>
      <c r="I158" s="47"/>
      <c r="J158" s="48"/>
      <c r="K158" s="48"/>
      <c r="L158" s="48"/>
      <c r="M158" s="48"/>
      <c r="N158" s="48"/>
      <c r="O158" s="48"/>
      <c r="P158" s="47"/>
      <c r="Q158" s="47"/>
      <c r="R158" s="47">
        <v>33</v>
      </c>
      <c r="S158" s="47"/>
      <c r="T158" s="47"/>
      <c r="U158" s="47"/>
      <c r="V158" s="48"/>
      <c r="W158" s="48"/>
      <c r="X158" s="48"/>
      <c r="Y158" s="48"/>
      <c r="Z158" s="48"/>
      <c r="AA158" s="48"/>
      <c r="AB158" s="47"/>
      <c r="AC158" s="47"/>
      <c r="AD158" s="47"/>
      <c r="AE158" s="47"/>
      <c r="AF158" s="47"/>
      <c r="AG158" s="47"/>
      <c r="AH158" s="48"/>
      <c r="AI158" s="48"/>
      <c r="AJ158" s="48"/>
      <c r="AK158" s="48"/>
      <c r="AL158" s="48"/>
      <c r="AM158" s="48"/>
      <c r="AN158" s="50"/>
      <c r="AO158" s="51">
        <f t="shared" si="22"/>
        <v>33</v>
      </c>
      <c r="AR158" s="305">
        <f t="shared" si="21"/>
        <v>33</v>
      </c>
    </row>
    <row r="159" spans="1:44" ht="21" x14ac:dyDescent="0.35">
      <c r="A159" s="77">
        <v>9</v>
      </c>
      <c r="B159" s="5" t="s">
        <v>730</v>
      </c>
      <c r="C159" s="99" t="s">
        <v>215</v>
      </c>
      <c r="D159" s="46"/>
      <c r="E159" s="47"/>
      <c r="F159" s="47"/>
      <c r="G159" s="47"/>
      <c r="H159" s="47"/>
      <c r="I159" s="47"/>
      <c r="J159" s="48"/>
      <c r="K159" s="48"/>
      <c r="L159" s="48"/>
      <c r="M159" s="48">
        <v>3</v>
      </c>
      <c r="N159" s="48">
        <v>1</v>
      </c>
      <c r="O159" s="48"/>
      <c r="P159" s="47">
        <v>3</v>
      </c>
      <c r="Q159" s="47"/>
      <c r="R159" s="47">
        <v>19</v>
      </c>
      <c r="S159" s="47"/>
      <c r="T159" s="47"/>
      <c r="U159" s="47"/>
      <c r="V159" s="48"/>
      <c r="W159" s="48"/>
      <c r="X159" s="48"/>
      <c r="Y159" s="48"/>
      <c r="Z159" s="48"/>
      <c r="AA159" s="48"/>
      <c r="AB159" s="47"/>
      <c r="AC159" s="47"/>
      <c r="AD159" s="47"/>
      <c r="AE159" s="47"/>
      <c r="AF159" s="47"/>
      <c r="AG159" s="47"/>
      <c r="AH159" s="48"/>
      <c r="AI159" s="48"/>
      <c r="AJ159" s="48"/>
      <c r="AK159" s="48"/>
      <c r="AL159" s="48"/>
      <c r="AM159" s="48"/>
      <c r="AN159" s="50"/>
      <c r="AO159" s="51">
        <f t="shared" si="22"/>
        <v>26</v>
      </c>
      <c r="AR159" s="305">
        <f t="shared" si="21"/>
        <v>26</v>
      </c>
    </row>
    <row r="160" spans="1:44" ht="21" x14ac:dyDescent="0.35">
      <c r="A160" s="77">
        <v>10</v>
      </c>
      <c r="B160" s="5" t="s">
        <v>730</v>
      </c>
      <c r="C160" s="104" t="s">
        <v>216</v>
      </c>
      <c r="D160" s="52">
        <v>1</v>
      </c>
      <c r="E160" s="57"/>
      <c r="F160" s="57">
        <v>1</v>
      </c>
      <c r="G160" s="57"/>
      <c r="H160" s="57"/>
      <c r="I160" s="57"/>
      <c r="J160" s="55"/>
      <c r="K160" s="55"/>
      <c r="L160" s="55">
        <v>1</v>
      </c>
      <c r="M160" s="55">
        <v>5</v>
      </c>
      <c r="N160" s="55"/>
      <c r="O160" s="55"/>
      <c r="P160" s="57">
        <v>6</v>
      </c>
      <c r="Q160" s="57"/>
      <c r="R160" s="57">
        <v>33</v>
      </c>
      <c r="S160" s="57"/>
      <c r="T160" s="57"/>
      <c r="U160" s="57"/>
      <c r="V160" s="55"/>
      <c r="W160" s="55"/>
      <c r="X160" s="55"/>
      <c r="Y160" s="55"/>
      <c r="Z160" s="55">
        <v>1</v>
      </c>
      <c r="AA160" s="55"/>
      <c r="AB160" s="57"/>
      <c r="AC160" s="57"/>
      <c r="AD160" s="57"/>
      <c r="AE160" s="57"/>
      <c r="AF160" s="57">
        <v>1</v>
      </c>
      <c r="AG160" s="57"/>
      <c r="AH160" s="55"/>
      <c r="AI160" s="55"/>
      <c r="AJ160" s="55"/>
      <c r="AK160" s="55"/>
      <c r="AL160" s="55"/>
      <c r="AM160" s="55"/>
      <c r="AN160" s="60">
        <v>0</v>
      </c>
      <c r="AO160" s="51">
        <f t="shared" si="22"/>
        <v>49</v>
      </c>
      <c r="AR160" s="305">
        <f t="shared" si="21"/>
        <v>49</v>
      </c>
    </row>
    <row r="161" spans="1:44" ht="21" x14ac:dyDescent="0.35">
      <c r="A161" s="77">
        <v>11</v>
      </c>
      <c r="B161" s="5" t="s">
        <v>730</v>
      </c>
      <c r="C161" s="99" t="s">
        <v>217</v>
      </c>
      <c r="D161" s="52">
        <v>12</v>
      </c>
      <c r="E161" s="57"/>
      <c r="F161" s="58">
        <v>2</v>
      </c>
      <c r="G161" s="57"/>
      <c r="H161" s="57"/>
      <c r="I161" s="57">
        <v>1</v>
      </c>
      <c r="J161" s="55"/>
      <c r="K161" s="55">
        <v>5</v>
      </c>
      <c r="L161" s="59">
        <v>6</v>
      </c>
      <c r="M161" s="55">
        <v>62</v>
      </c>
      <c r="N161" s="55">
        <v>1</v>
      </c>
      <c r="O161" s="55"/>
      <c r="P161" s="57">
        <v>54</v>
      </c>
      <c r="Q161" s="57"/>
      <c r="R161" s="57">
        <v>28</v>
      </c>
      <c r="S161" s="57"/>
      <c r="T161" s="57"/>
      <c r="U161" s="57"/>
      <c r="V161" s="55"/>
      <c r="W161" s="55"/>
      <c r="X161" s="55">
        <v>5</v>
      </c>
      <c r="Y161" s="55"/>
      <c r="Z161" s="55"/>
      <c r="AA161" s="55"/>
      <c r="AB161" s="57"/>
      <c r="AC161" s="57">
        <v>1</v>
      </c>
      <c r="AD161" s="57"/>
      <c r="AE161" s="57"/>
      <c r="AF161" s="57"/>
      <c r="AG161" s="57"/>
      <c r="AH161" s="55">
        <v>1</v>
      </c>
      <c r="AI161" s="55"/>
      <c r="AJ161" s="55"/>
      <c r="AK161" s="55"/>
      <c r="AL161" s="55"/>
      <c r="AM161" s="55"/>
      <c r="AN161" s="60"/>
      <c r="AO161" s="51">
        <f t="shared" si="22"/>
        <v>178</v>
      </c>
      <c r="AR161" s="305">
        <f t="shared" si="21"/>
        <v>178</v>
      </c>
    </row>
    <row r="162" spans="1:44" ht="21" x14ac:dyDescent="0.35">
      <c r="A162" s="77">
        <v>12</v>
      </c>
      <c r="B162" s="5" t="s">
        <v>730</v>
      </c>
      <c r="C162" s="99" t="s">
        <v>218</v>
      </c>
      <c r="D162" s="69">
        <v>1</v>
      </c>
      <c r="E162" s="53"/>
      <c r="F162" s="53">
        <v>3</v>
      </c>
      <c r="G162" s="53"/>
      <c r="H162" s="53"/>
      <c r="I162" s="53">
        <v>1</v>
      </c>
      <c r="J162" s="54"/>
      <c r="K162" s="54"/>
      <c r="L162" s="54">
        <v>1</v>
      </c>
      <c r="M162" s="54">
        <v>4</v>
      </c>
      <c r="N162" s="54">
        <v>1</v>
      </c>
      <c r="O162" s="54"/>
      <c r="P162" s="53">
        <v>10</v>
      </c>
      <c r="Q162" s="53"/>
      <c r="R162" s="53">
        <v>9</v>
      </c>
      <c r="S162" s="53"/>
      <c r="T162" s="53"/>
      <c r="U162" s="53"/>
      <c r="V162" s="54"/>
      <c r="W162" s="54"/>
      <c r="X162" s="54"/>
      <c r="Y162" s="54"/>
      <c r="Z162" s="54"/>
      <c r="AA162" s="54"/>
      <c r="AB162" s="53"/>
      <c r="AC162" s="53"/>
      <c r="AD162" s="53"/>
      <c r="AE162" s="53"/>
      <c r="AF162" s="53"/>
      <c r="AG162" s="53"/>
      <c r="AH162" s="54"/>
      <c r="AI162" s="54"/>
      <c r="AJ162" s="54"/>
      <c r="AK162" s="54"/>
      <c r="AL162" s="54"/>
      <c r="AM162" s="54"/>
      <c r="AN162" s="74"/>
      <c r="AO162" s="51">
        <f t="shared" si="22"/>
        <v>30</v>
      </c>
      <c r="AR162" s="305">
        <f t="shared" si="21"/>
        <v>30</v>
      </c>
    </row>
    <row r="163" spans="1:44" ht="21" x14ac:dyDescent="0.35">
      <c r="A163" s="77">
        <v>13</v>
      </c>
      <c r="B163" s="5" t="s">
        <v>730</v>
      </c>
      <c r="C163" s="99" t="s">
        <v>219</v>
      </c>
      <c r="D163" s="46"/>
      <c r="E163" s="47"/>
      <c r="F163" s="47"/>
      <c r="G163" s="47"/>
      <c r="H163" s="47"/>
      <c r="I163" s="47"/>
      <c r="J163" s="48"/>
      <c r="K163" s="48"/>
      <c r="L163" s="48"/>
      <c r="M163" s="48">
        <v>1</v>
      </c>
      <c r="N163" s="48"/>
      <c r="O163" s="48"/>
      <c r="P163" s="47"/>
      <c r="Q163" s="47"/>
      <c r="R163" s="47">
        <v>1</v>
      </c>
      <c r="S163" s="47"/>
      <c r="T163" s="47"/>
      <c r="U163" s="47"/>
      <c r="V163" s="48"/>
      <c r="W163" s="48"/>
      <c r="X163" s="48"/>
      <c r="Y163" s="48"/>
      <c r="Z163" s="48"/>
      <c r="AA163" s="48"/>
      <c r="AB163" s="47"/>
      <c r="AC163" s="47"/>
      <c r="AD163" s="47"/>
      <c r="AE163" s="47"/>
      <c r="AF163" s="47"/>
      <c r="AG163" s="47"/>
      <c r="AH163" s="48"/>
      <c r="AI163" s="48"/>
      <c r="AJ163" s="48"/>
      <c r="AK163" s="48"/>
      <c r="AL163" s="48"/>
      <c r="AM163" s="48"/>
      <c r="AN163" s="50"/>
      <c r="AO163" s="51">
        <f t="shared" si="22"/>
        <v>2</v>
      </c>
      <c r="AR163" s="305">
        <f t="shared" si="21"/>
        <v>2</v>
      </c>
    </row>
    <row r="164" spans="1:44" ht="21" x14ac:dyDescent="0.35">
      <c r="A164" s="77">
        <v>14</v>
      </c>
      <c r="B164" s="5" t="s">
        <v>730</v>
      </c>
      <c r="C164" s="99" t="s">
        <v>220</v>
      </c>
      <c r="D164" s="105"/>
      <c r="E164" s="57"/>
      <c r="F164" s="58"/>
      <c r="G164" s="106"/>
      <c r="H164" s="106"/>
      <c r="I164" s="106"/>
      <c r="J164" s="55"/>
      <c r="K164" s="55"/>
      <c r="L164" s="107"/>
      <c r="M164" s="107">
        <v>1</v>
      </c>
      <c r="N164" s="107"/>
      <c r="O164" s="107"/>
      <c r="P164" s="57"/>
      <c r="Q164" s="57"/>
      <c r="R164" s="106">
        <v>3</v>
      </c>
      <c r="S164" s="106"/>
      <c r="T164" s="106"/>
      <c r="U164" s="106"/>
      <c r="V164" s="55"/>
      <c r="W164" s="55"/>
      <c r="X164" s="107"/>
      <c r="Y164" s="107"/>
      <c r="Z164" s="107"/>
      <c r="AA164" s="107"/>
      <c r="AB164" s="57"/>
      <c r="AC164" s="57"/>
      <c r="AD164" s="106"/>
      <c r="AE164" s="106"/>
      <c r="AF164" s="106"/>
      <c r="AG164" s="106"/>
      <c r="AH164" s="55"/>
      <c r="AI164" s="55"/>
      <c r="AJ164" s="107"/>
      <c r="AK164" s="107"/>
      <c r="AL164" s="107"/>
      <c r="AM164" s="107"/>
      <c r="AN164" s="108">
        <v>0</v>
      </c>
      <c r="AO164" s="51">
        <f t="shared" si="22"/>
        <v>4</v>
      </c>
      <c r="AR164" s="305">
        <f t="shared" si="21"/>
        <v>4</v>
      </c>
    </row>
    <row r="165" spans="1:44" ht="21" x14ac:dyDescent="0.35">
      <c r="A165" s="77">
        <v>15</v>
      </c>
      <c r="B165" s="5" t="s">
        <v>730</v>
      </c>
      <c r="C165" s="99" t="s">
        <v>221</v>
      </c>
      <c r="D165" s="52"/>
      <c r="E165" s="57"/>
      <c r="F165" s="58"/>
      <c r="G165" s="57"/>
      <c r="H165" s="57"/>
      <c r="I165" s="57"/>
      <c r="J165" s="55"/>
      <c r="K165" s="55"/>
      <c r="L165" s="59"/>
      <c r="M165" s="55">
        <v>2</v>
      </c>
      <c r="N165" s="55"/>
      <c r="O165" s="55"/>
      <c r="P165" s="57"/>
      <c r="Q165" s="57"/>
      <c r="R165" s="57">
        <v>10</v>
      </c>
      <c r="S165" s="57"/>
      <c r="T165" s="57"/>
      <c r="U165" s="57"/>
      <c r="V165" s="55"/>
      <c r="W165" s="55"/>
      <c r="X165" s="55"/>
      <c r="Y165" s="55"/>
      <c r="Z165" s="55"/>
      <c r="AA165" s="55"/>
      <c r="AB165" s="57"/>
      <c r="AC165" s="57"/>
      <c r="AD165" s="57"/>
      <c r="AE165" s="57"/>
      <c r="AF165" s="57"/>
      <c r="AG165" s="57">
        <v>1</v>
      </c>
      <c r="AH165" s="55">
        <v>1</v>
      </c>
      <c r="AI165" s="55"/>
      <c r="AJ165" s="55"/>
      <c r="AK165" s="55"/>
      <c r="AL165" s="55"/>
      <c r="AM165" s="55"/>
      <c r="AN165" s="60">
        <v>0</v>
      </c>
      <c r="AO165" s="51">
        <f t="shared" si="22"/>
        <v>14</v>
      </c>
      <c r="AR165" s="305">
        <f t="shared" si="21"/>
        <v>14</v>
      </c>
    </row>
    <row r="166" spans="1:44" ht="21" x14ac:dyDescent="0.35">
      <c r="A166" s="77">
        <v>16</v>
      </c>
      <c r="B166" s="5" t="s">
        <v>730</v>
      </c>
      <c r="C166" s="99" t="s">
        <v>222</v>
      </c>
      <c r="D166" s="46">
        <v>3</v>
      </c>
      <c r="E166" s="47"/>
      <c r="F166" s="47">
        <v>1</v>
      </c>
      <c r="G166" s="47"/>
      <c r="H166" s="47"/>
      <c r="I166" s="47"/>
      <c r="J166" s="48"/>
      <c r="K166" s="48">
        <v>1</v>
      </c>
      <c r="L166" s="48"/>
      <c r="M166" s="48">
        <v>3</v>
      </c>
      <c r="N166" s="48"/>
      <c r="O166" s="48"/>
      <c r="P166" s="47">
        <v>2</v>
      </c>
      <c r="Q166" s="47"/>
      <c r="R166" s="47">
        <v>31</v>
      </c>
      <c r="S166" s="47"/>
      <c r="T166" s="47"/>
      <c r="U166" s="47"/>
      <c r="V166" s="48"/>
      <c r="W166" s="48"/>
      <c r="X166" s="48"/>
      <c r="Y166" s="48"/>
      <c r="Z166" s="48"/>
      <c r="AA166" s="48"/>
      <c r="AB166" s="47"/>
      <c r="AC166" s="47"/>
      <c r="AD166" s="47"/>
      <c r="AE166" s="47"/>
      <c r="AF166" s="47"/>
      <c r="AG166" s="47"/>
      <c r="AH166" s="48"/>
      <c r="AI166" s="48"/>
      <c r="AJ166" s="48"/>
      <c r="AK166" s="48"/>
      <c r="AL166" s="48"/>
      <c r="AM166" s="48"/>
      <c r="AN166" s="50">
        <v>0</v>
      </c>
      <c r="AO166" s="51">
        <f t="shared" si="22"/>
        <v>41</v>
      </c>
      <c r="AR166" s="305">
        <f t="shared" si="21"/>
        <v>41</v>
      </c>
    </row>
    <row r="167" spans="1:44" ht="21" x14ac:dyDescent="0.35">
      <c r="A167" s="109">
        <v>17</v>
      </c>
      <c r="B167" s="5" t="s">
        <v>730</v>
      </c>
      <c r="C167" s="110" t="s">
        <v>223</v>
      </c>
      <c r="D167" s="111"/>
      <c r="E167" s="82"/>
      <c r="F167" s="83"/>
      <c r="G167" s="82"/>
      <c r="H167" s="82"/>
      <c r="I167" s="82"/>
      <c r="J167" s="84"/>
      <c r="K167" s="84"/>
      <c r="L167" s="85"/>
      <c r="M167" s="84"/>
      <c r="N167" s="84"/>
      <c r="O167" s="84"/>
      <c r="P167" s="82"/>
      <c r="Q167" s="82"/>
      <c r="R167" s="82"/>
      <c r="S167" s="82"/>
      <c r="T167" s="82"/>
      <c r="U167" s="82"/>
      <c r="V167" s="84"/>
      <c r="W167" s="84"/>
      <c r="X167" s="84"/>
      <c r="Y167" s="84"/>
      <c r="Z167" s="84"/>
      <c r="AA167" s="84"/>
      <c r="AB167" s="82"/>
      <c r="AC167" s="82"/>
      <c r="AD167" s="82"/>
      <c r="AE167" s="82"/>
      <c r="AF167" s="82"/>
      <c r="AG167" s="82"/>
      <c r="AH167" s="84"/>
      <c r="AI167" s="84"/>
      <c r="AJ167" s="84"/>
      <c r="AK167" s="84"/>
      <c r="AL167" s="84"/>
      <c r="AM167" s="84"/>
      <c r="AN167" s="86">
        <v>0</v>
      </c>
      <c r="AO167" s="51">
        <f t="shared" si="22"/>
        <v>0</v>
      </c>
      <c r="AR167" s="305">
        <f t="shared" si="21"/>
        <v>0</v>
      </c>
    </row>
    <row r="168" spans="1:44" ht="21" x14ac:dyDescent="0.35">
      <c r="A168" s="77">
        <v>1</v>
      </c>
      <c r="B168" s="5" t="s">
        <v>695</v>
      </c>
      <c r="C168" s="113" t="s">
        <v>224</v>
      </c>
      <c r="D168" s="57">
        <v>2</v>
      </c>
      <c r="E168" s="57"/>
      <c r="F168" s="58">
        <v>2</v>
      </c>
      <c r="G168" s="57"/>
      <c r="H168" s="57"/>
      <c r="I168" s="57">
        <v>2</v>
      </c>
      <c r="J168" s="55"/>
      <c r="K168" s="55">
        <v>2</v>
      </c>
      <c r="L168" s="59">
        <v>1</v>
      </c>
      <c r="M168" s="55">
        <v>48</v>
      </c>
      <c r="N168" s="55"/>
      <c r="O168" s="55"/>
      <c r="P168" s="57">
        <v>48</v>
      </c>
      <c r="Q168" s="57"/>
      <c r="R168" s="57">
        <v>11</v>
      </c>
      <c r="S168" s="57"/>
      <c r="T168" s="57"/>
      <c r="U168" s="57"/>
      <c r="V168" s="55"/>
      <c r="W168" s="55"/>
      <c r="X168" s="55"/>
      <c r="Y168" s="55"/>
      <c r="Z168" s="55"/>
      <c r="AA168" s="55">
        <v>1</v>
      </c>
      <c r="AB168" s="57"/>
      <c r="AC168" s="57"/>
      <c r="AD168" s="57"/>
      <c r="AE168" s="57"/>
      <c r="AF168" s="57"/>
      <c r="AG168" s="57"/>
      <c r="AH168" s="55"/>
      <c r="AI168" s="55"/>
      <c r="AJ168" s="55">
        <v>1</v>
      </c>
      <c r="AK168" s="55"/>
      <c r="AL168" s="55"/>
      <c r="AM168" s="55"/>
      <c r="AN168" s="60">
        <v>0</v>
      </c>
      <c r="AO168" s="61">
        <f>SUM(D168:AN168)</f>
        <v>118</v>
      </c>
      <c r="AP168" s="306">
        <f>D168+E168+F168+G168+H168+I168+J168+K168+L168+M168+N168+O168+P168+Q168+R168+S168+T168+U168+V168+W168+X168+Y168+Z168+AA168+AB168+AC168+AD168+AE168+AF168+AG168+AH168+AI168+AJ168+AK168+AL168+AM168+AN168</f>
        <v>118</v>
      </c>
      <c r="AQ168" s="17"/>
    </row>
    <row r="169" spans="1:44" ht="21" x14ac:dyDescent="0.35">
      <c r="A169" s="77">
        <v>2</v>
      </c>
      <c r="B169" s="5" t="s">
        <v>695</v>
      </c>
      <c r="C169" s="114" t="s">
        <v>225</v>
      </c>
      <c r="D169" s="47">
        <v>1</v>
      </c>
      <c r="E169" s="47">
        <v>1</v>
      </c>
      <c r="F169" s="47"/>
      <c r="G169" s="47"/>
      <c r="H169" s="47"/>
      <c r="I169" s="47"/>
      <c r="J169" s="48"/>
      <c r="K169" s="48"/>
      <c r="L169" s="48"/>
      <c r="M169" s="48">
        <v>12</v>
      </c>
      <c r="N169" s="48"/>
      <c r="O169" s="48"/>
      <c r="P169" s="47">
        <v>24</v>
      </c>
      <c r="Q169" s="47"/>
      <c r="R169" s="47">
        <v>2</v>
      </c>
      <c r="S169" s="47"/>
      <c r="T169" s="47">
        <v>1</v>
      </c>
      <c r="U169" s="47"/>
      <c r="V169" s="48"/>
      <c r="W169" s="48"/>
      <c r="X169" s="48"/>
      <c r="Y169" s="48"/>
      <c r="Z169" s="48"/>
      <c r="AA169" s="48"/>
      <c r="AB169" s="47"/>
      <c r="AC169" s="47"/>
      <c r="AD169" s="47"/>
      <c r="AE169" s="47"/>
      <c r="AF169" s="47"/>
      <c r="AG169" s="47">
        <v>9</v>
      </c>
      <c r="AH169" s="48"/>
      <c r="AI169" s="48"/>
      <c r="AJ169" s="48"/>
      <c r="AK169" s="48"/>
      <c r="AL169" s="48"/>
      <c r="AM169" s="48"/>
      <c r="AN169" s="50">
        <v>0</v>
      </c>
      <c r="AO169" s="51">
        <f>SUM(D169:AN169)</f>
        <v>50</v>
      </c>
      <c r="AP169" s="306">
        <f t="shared" ref="AP169:AP183" si="23">D169+E169+F169+G169+H169+I169+J169+K169+L169+M169+N169+O169+P169+Q169+R169+S169+T169+U169+V169+W169+X169+Y169+Z169+AA169+AB169+AC169+AD169+AE169+AF169+AG169+AH169+AI169+AJ169+AK169+AL169+AM169+AN169</f>
        <v>50</v>
      </c>
    </row>
    <row r="170" spans="1:44" ht="21" x14ac:dyDescent="0.35">
      <c r="A170" s="77">
        <v>3</v>
      </c>
      <c r="B170" s="5" t="s">
        <v>695</v>
      </c>
      <c r="C170" s="113" t="s">
        <v>226</v>
      </c>
      <c r="D170" s="57">
        <v>3</v>
      </c>
      <c r="E170" s="47"/>
      <c r="F170" s="53">
        <v>1</v>
      </c>
      <c r="G170" s="47"/>
      <c r="H170" s="47"/>
      <c r="I170" s="47"/>
      <c r="J170" s="48"/>
      <c r="K170" s="48"/>
      <c r="L170" s="54"/>
      <c r="M170" s="48">
        <v>11</v>
      </c>
      <c r="N170" s="48"/>
      <c r="O170" s="48"/>
      <c r="P170" s="47">
        <v>8</v>
      </c>
      <c r="Q170" s="47"/>
      <c r="R170" s="47">
        <v>3</v>
      </c>
      <c r="S170" s="47"/>
      <c r="T170" s="47"/>
      <c r="U170" s="47"/>
      <c r="V170" s="55"/>
      <c r="W170" s="48"/>
      <c r="X170" s="48"/>
      <c r="Y170" s="48"/>
      <c r="Z170" s="48"/>
      <c r="AA170" s="48"/>
      <c r="AB170" s="47"/>
      <c r="AC170" s="47"/>
      <c r="AD170" s="47"/>
      <c r="AE170" s="47"/>
      <c r="AF170" s="47"/>
      <c r="AG170" s="47"/>
      <c r="AH170" s="48"/>
      <c r="AI170" s="48"/>
      <c r="AJ170" s="48">
        <v>1</v>
      </c>
      <c r="AK170" s="48"/>
      <c r="AL170" s="48"/>
      <c r="AM170" s="48"/>
      <c r="AN170" s="50">
        <v>0</v>
      </c>
      <c r="AO170" s="51">
        <f>SUM(D170:AN170)</f>
        <v>27</v>
      </c>
      <c r="AP170" s="306">
        <f t="shared" si="23"/>
        <v>27</v>
      </c>
    </row>
    <row r="171" spans="1:44" ht="21" x14ac:dyDescent="0.35">
      <c r="A171" s="77">
        <v>4</v>
      </c>
      <c r="B171" s="5" t="s">
        <v>695</v>
      </c>
      <c r="C171" s="114" t="s">
        <v>227</v>
      </c>
      <c r="D171" s="57"/>
      <c r="E171" s="47"/>
      <c r="F171" s="53"/>
      <c r="G171" s="47"/>
      <c r="H171" s="47"/>
      <c r="I171" s="47"/>
      <c r="J171" s="48"/>
      <c r="K171" s="48"/>
      <c r="L171" s="54"/>
      <c r="M171" s="48">
        <v>1</v>
      </c>
      <c r="N171" s="48"/>
      <c r="O171" s="48"/>
      <c r="P171" s="47">
        <v>5</v>
      </c>
      <c r="Q171" s="47"/>
      <c r="R171" s="47">
        <v>2</v>
      </c>
      <c r="S171" s="47"/>
      <c r="T171" s="47"/>
      <c r="U171" s="47"/>
      <c r="V171" s="55"/>
      <c r="W171" s="48"/>
      <c r="X171" s="48"/>
      <c r="Y171" s="48"/>
      <c r="Z171" s="48"/>
      <c r="AA171" s="48"/>
      <c r="AB171" s="47"/>
      <c r="AC171" s="47"/>
      <c r="AD171" s="47"/>
      <c r="AE171" s="47"/>
      <c r="AF171" s="47"/>
      <c r="AG171" s="47">
        <v>1</v>
      </c>
      <c r="AH171" s="48"/>
      <c r="AI171" s="48"/>
      <c r="AJ171" s="48"/>
      <c r="AK171" s="48"/>
      <c r="AL171" s="48"/>
      <c r="AM171" s="48"/>
      <c r="AN171" s="50">
        <v>0</v>
      </c>
      <c r="AO171" s="51">
        <f>SUM(D171:AN171)</f>
        <v>9</v>
      </c>
      <c r="AP171" s="306">
        <f t="shared" si="23"/>
        <v>9</v>
      </c>
    </row>
    <row r="172" spans="1:44" ht="21" x14ac:dyDescent="0.35">
      <c r="A172" s="77">
        <v>5</v>
      </c>
      <c r="B172" s="5" t="s">
        <v>695</v>
      </c>
      <c r="C172" s="114" t="s">
        <v>228</v>
      </c>
      <c r="D172" s="47">
        <v>43</v>
      </c>
      <c r="E172" s="47"/>
      <c r="F172" s="47">
        <v>7</v>
      </c>
      <c r="G172" s="47"/>
      <c r="H172" s="47"/>
      <c r="I172" s="47">
        <v>4</v>
      </c>
      <c r="J172" s="48"/>
      <c r="K172" s="48">
        <v>11</v>
      </c>
      <c r="L172" s="48">
        <v>10</v>
      </c>
      <c r="M172" s="48">
        <v>174</v>
      </c>
      <c r="N172" s="48">
        <v>2</v>
      </c>
      <c r="O172" s="48"/>
      <c r="P172" s="47">
        <v>388</v>
      </c>
      <c r="Q172" s="47">
        <v>1</v>
      </c>
      <c r="R172" s="47">
        <v>58</v>
      </c>
      <c r="S172" s="47"/>
      <c r="T172" s="47"/>
      <c r="U172" s="47"/>
      <c r="V172" s="48"/>
      <c r="W172" s="48"/>
      <c r="X172" s="48">
        <v>4</v>
      </c>
      <c r="Y172" s="48"/>
      <c r="Z172" s="48">
        <v>1</v>
      </c>
      <c r="AA172" s="48"/>
      <c r="AB172" s="47"/>
      <c r="AC172" s="47"/>
      <c r="AD172" s="47"/>
      <c r="AE172" s="47">
        <v>2</v>
      </c>
      <c r="AF172" s="47"/>
      <c r="AG172" s="47"/>
      <c r="AH172" s="48"/>
      <c r="AI172" s="48"/>
      <c r="AJ172" s="48">
        <v>1</v>
      </c>
      <c r="AK172" s="48"/>
      <c r="AL172" s="48"/>
      <c r="AM172" s="48"/>
      <c r="AN172" s="50">
        <v>1</v>
      </c>
      <c r="AO172" s="51" t="s">
        <v>134</v>
      </c>
      <c r="AP172" s="306">
        <f t="shared" si="23"/>
        <v>707</v>
      </c>
    </row>
    <row r="173" spans="1:44" ht="21" x14ac:dyDescent="0.35">
      <c r="A173" s="77">
        <v>6</v>
      </c>
      <c r="B173" s="5" t="s">
        <v>695</v>
      </c>
      <c r="C173" s="114" t="s">
        <v>229</v>
      </c>
      <c r="D173" s="57">
        <v>73</v>
      </c>
      <c r="E173" s="47">
        <v>2</v>
      </c>
      <c r="F173" s="53">
        <v>20</v>
      </c>
      <c r="G173" s="47"/>
      <c r="H173" s="47"/>
      <c r="I173" s="47">
        <v>6</v>
      </c>
      <c r="J173" s="48"/>
      <c r="K173" s="48">
        <v>10</v>
      </c>
      <c r="L173" s="54">
        <v>9</v>
      </c>
      <c r="M173" s="48">
        <v>295</v>
      </c>
      <c r="N173" s="48">
        <v>4</v>
      </c>
      <c r="O173" s="48"/>
      <c r="P173" s="47">
        <v>512</v>
      </c>
      <c r="Q173" s="47"/>
      <c r="R173" s="47">
        <v>103</v>
      </c>
      <c r="S173" s="47"/>
      <c r="T173" s="47"/>
      <c r="U173" s="47"/>
      <c r="V173" s="55"/>
      <c r="W173" s="48"/>
      <c r="X173" s="48">
        <v>9</v>
      </c>
      <c r="Y173" s="48"/>
      <c r="Z173" s="48"/>
      <c r="AA173" s="48">
        <v>1</v>
      </c>
      <c r="AB173" s="47"/>
      <c r="AC173" s="47"/>
      <c r="AD173" s="47"/>
      <c r="AE173" s="47">
        <v>1</v>
      </c>
      <c r="AF173" s="47">
        <v>4</v>
      </c>
      <c r="AG173" s="47"/>
      <c r="AH173" s="48">
        <v>6</v>
      </c>
      <c r="AI173" s="48"/>
      <c r="AJ173" s="48"/>
      <c r="AK173" s="48"/>
      <c r="AL173" s="48"/>
      <c r="AM173" s="48"/>
      <c r="AN173" s="50">
        <v>0</v>
      </c>
      <c r="AO173" s="51">
        <f t="shared" ref="AO173:AO183" si="24">SUM(D173:AN173)</f>
        <v>1055</v>
      </c>
      <c r="AP173" s="306">
        <f t="shared" si="23"/>
        <v>1055</v>
      </c>
    </row>
    <row r="174" spans="1:44" ht="21" x14ac:dyDescent="0.35">
      <c r="A174" s="77">
        <v>7</v>
      </c>
      <c r="B174" s="5" t="s">
        <v>695</v>
      </c>
      <c r="C174" s="114" t="s">
        <v>230</v>
      </c>
      <c r="D174" s="57">
        <v>40</v>
      </c>
      <c r="E174" s="47">
        <v>1</v>
      </c>
      <c r="F174" s="53">
        <v>5</v>
      </c>
      <c r="G174" s="47"/>
      <c r="H174" s="47"/>
      <c r="I174" s="47"/>
      <c r="J174" s="48"/>
      <c r="K174" s="48"/>
      <c r="L174" s="54">
        <v>7</v>
      </c>
      <c r="M174" s="48">
        <v>136</v>
      </c>
      <c r="N174" s="48"/>
      <c r="O174" s="48">
        <v>1</v>
      </c>
      <c r="P174" s="47">
        <v>92</v>
      </c>
      <c r="Q174" s="47"/>
      <c r="R174" s="47">
        <v>58</v>
      </c>
      <c r="S174" s="47"/>
      <c r="T174" s="47"/>
      <c r="U174" s="47"/>
      <c r="V174" s="55"/>
      <c r="W174" s="48"/>
      <c r="X174" s="48">
        <v>1</v>
      </c>
      <c r="Y174" s="48"/>
      <c r="Z174" s="48"/>
      <c r="AA174" s="48"/>
      <c r="AB174" s="47"/>
      <c r="AC174" s="47">
        <v>1</v>
      </c>
      <c r="AD174" s="47">
        <v>1</v>
      </c>
      <c r="AE174" s="47"/>
      <c r="AF174" s="47"/>
      <c r="AG174" s="47"/>
      <c r="AH174" s="48">
        <v>3</v>
      </c>
      <c r="AI174" s="48"/>
      <c r="AJ174" s="48"/>
      <c r="AK174" s="48"/>
      <c r="AL174" s="48"/>
      <c r="AM174" s="48"/>
      <c r="AN174" s="50">
        <v>0</v>
      </c>
      <c r="AO174" s="51">
        <f t="shared" si="24"/>
        <v>346</v>
      </c>
      <c r="AP174" s="306">
        <f t="shared" si="23"/>
        <v>346</v>
      </c>
    </row>
    <row r="175" spans="1:44" ht="21" x14ac:dyDescent="0.35">
      <c r="A175" s="115">
        <v>8</v>
      </c>
      <c r="B175" s="5" t="s">
        <v>695</v>
      </c>
      <c r="C175" s="114" t="s">
        <v>231</v>
      </c>
      <c r="D175" s="47">
        <v>59</v>
      </c>
      <c r="E175" s="47"/>
      <c r="F175" s="53">
        <v>6</v>
      </c>
      <c r="G175" s="47"/>
      <c r="H175" s="47"/>
      <c r="I175" s="47">
        <v>7</v>
      </c>
      <c r="J175" s="48"/>
      <c r="K175" s="48">
        <v>6</v>
      </c>
      <c r="L175" s="54">
        <v>3</v>
      </c>
      <c r="M175" s="48">
        <v>189</v>
      </c>
      <c r="N175" s="48"/>
      <c r="O175" s="48"/>
      <c r="P175" s="47">
        <v>147</v>
      </c>
      <c r="Q175" s="47"/>
      <c r="R175" s="47">
        <v>49</v>
      </c>
      <c r="S175" s="47"/>
      <c r="T175" s="47"/>
      <c r="U175" s="47"/>
      <c r="V175" s="48"/>
      <c r="W175" s="48"/>
      <c r="X175" s="48">
        <v>4</v>
      </c>
      <c r="Y175" s="48"/>
      <c r="Z175" s="48"/>
      <c r="AA175" s="48"/>
      <c r="AB175" s="47"/>
      <c r="AC175" s="47"/>
      <c r="AD175" s="47"/>
      <c r="AE175" s="47">
        <v>4</v>
      </c>
      <c r="AF175" s="47"/>
      <c r="AG175" s="47">
        <v>2</v>
      </c>
      <c r="AH175" s="48"/>
      <c r="AI175" s="48"/>
      <c r="AJ175" s="48"/>
      <c r="AK175" s="48"/>
      <c r="AL175" s="48"/>
      <c r="AM175" s="48"/>
      <c r="AN175" s="50">
        <v>0</v>
      </c>
      <c r="AO175" s="51">
        <f t="shared" si="24"/>
        <v>476</v>
      </c>
      <c r="AP175" s="306">
        <f t="shared" si="23"/>
        <v>476</v>
      </c>
    </row>
    <row r="176" spans="1:44" ht="21" x14ac:dyDescent="0.35">
      <c r="A176" s="112">
        <v>9</v>
      </c>
      <c r="B176" s="5" t="s">
        <v>695</v>
      </c>
      <c r="C176" s="79" t="s">
        <v>232</v>
      </c>
      <c r="D176" s="57">
        <v>8</v>
      </c>
      <c r="E176" s="57"/>
      <c r="F176" s="58"/>
      <c r="G176" s="57"/>
      <c r="H176" s="57"/>
      <c r="I176" s="57">
        <v>1</v>
      </c>
      <c r="J176" s="55"/>
      <c r="K176" s="55"/>
      <c r="L176" s="59">
        <v>6</v>
      </c>
      <c r="M176" s="55">
        <v>13</v>
      </c>
      <c r="N176" s="55">
        <v>1</v>
      </c>
      <c r="O176" s="55"/>
      <c r="P176" s="57">
        <v>39</v>
      </c>
      <c r="Q176" s="57"/>
      <c r="R176" s="57">
        <v>28</v>
      </c>
      <c r="S176" s="57"/>
      <c r="T176" s="57"/>
      <c r="U176" s="57"/>
      <c r="V176" s="55"/>
      <c r="W176" s="55"/>
      <c r="X176" s="55"/>
      <c r="Y176" s="55"/>
      <c r="Z176" s="55"/>
      <c r="AA176" s="55"/>
      <c r="AB176" s="57"/>
      <c r="AC176" s="57"/>
      <c r="AD176" s="57"/>
      <c r="AE176" s="57"/>
      <c r="AF176" s="57"/>
      <c r="AG176" s="57"/>
      <c r="AH176" s="55"/>
      <c r="AI176" s="55"/>
      <c r="AJ176" s="55"/>
      <c r="AK176" s="55"/>
      <c r="AL176" s="55"/>
      <c r="AM176" s="55"/>
      <c r="AN176" s="60">
        <v>0</v>
      </c>
      <c r="AO176" s="61">
        <f t="shared" si="24"/>
        <v>96</v>
      </c>
      <c r="AP176" s="306">
        <f t="shared" si="23"/>
        <v>96</v>
      </c>
      <c r="AQ176" s="17"/>
    </row>
    <row r="177" spans="1:43" ht="21" x14ac:dyDescent="0.35">
      <c r="A177" s="93">
        <v>10</v>
      </c>
      <c r="B177" s="5" t="s">
        <v>695</v>
      </c>
      <c r="C177" s="79" t="s">
        <v>233</v>
      </c>
      <c r="D177" s="47">
        <v>6</v>
      </c>
      <c r="E177" s="47"/>
      <c r="F177" s="47"/>
      <c r="G177" s="47"/>
      <c r="H177" s="47">
        <v>1</v>
      </c>
      <c r="I177" s="47"/>
      <c r="J177" s="49"/>
      <c r="K177" s="116">
        <v>2</v>
      </c>
      <c r="L177" s="116">
        <v>1</v>
      </c>
      <c r="M177" s="49">
        <v>6</v>
      </c>
      <c r="N177" s="49">
        <v>2</v>
      </c>
      <c r="O177" s="49"/>
      <c r="P177" s="47">
        <v>23</v>
      </c>
      <c r="Q177" s="47">
        <v>12</v>
      </c>
      <c r="R177" s="47"/>
      <c r="S177" s="47"/>
      <c r="T177" s="47"/>
      <c r="U177" s="47"/>
      <c r="V177" s="49"/>
      <c r="W177" s="49"/>
      <c r="X177" s="49">
        <v>1</v>
      </c>
      <c r="Y177" s="49"/>
      <c r="Z177" s="49"/>
      <c r="AA177" s="49"/>
      <c r="AB177" s="47"/>
      <c r="AC177" s="47"/>
      <c r="AD177" s="47"/>
      <c r="AE177" s="47"/>
      <c r="AF177" s="47"/>
      <c r="AG177" s="47"/>
      <c r="AH177" s="49"/>
      <c r="AI177" s="49"/>
      <c r="AJ177" s="49"/>
      <c r="AK177" s="49"/>
      <c r="AL177" s="49"/>
      <c r="AM177" s="49"/>
      <c r="AN177" s="91">
        <v>0</v>
      </c>
      <c r="AO177" s="51">
        <f t="shared" si="24"/>
        <v>54</v>
      </c>
      <c r="AP177" s="306">
        <f t="shared" si="23"/>
        <v>54</v>
      </c>
    </row>
    <row r="178" spans="1:43" ht="21" x14ac:dyDescent="0.35">
      <c r="A178" s="93">
        <v>11</v>
      </c>
      <c r="B178" s="5" t="s">
        <v>695</v>
      </c>
      <c r="C178" s="117" t="s">
        <v>234</v>
      </c>
      <c r="D178" s="47">
        <v>1</v>
      </c>
      <c r="E178" s="47">
        <v>2</v>
      </c>
      <c r="F178" s="47">
        <v>1</v>
      </c>
      <c r="G178" s="47">
        <v>3</v>
      </c>
      <c r="H178" s="47"/>
      <c r="I178" s="47"/>
      <c r="J178" s="48"/>
      <c r="K178" s="48">
        <v>1</v>
      </c>
      <c r="L178" s="48"/>
      <c r="M178" s="48">
        <v>29</v>
      </c>
      <c r="N178" s="48"/>
      <c r="O178" s="48"/>
      <c r="P178" s="47">
        <v>39</v>
      </c>
      <c r="Q178" s="47"/>
      <c r="R178" s="47">
        <v>1</v>
      </c>
      <c r="S178" s="47"/>
      <c r="T178" s="47"/>
      <c r="U178" s="47"/>
      <c r="V178" s="48"/>
      <c r="W178" s="48"/>
      <c r="X178" s="48">
        <v>1</v>
      </c>
      <c r="Y178" s="48"/>
      <c r="Z178" s="48"/>
      <c r="AA178" s="48"/>
      <c r="AB178" s="47"/>
      <c r="AC178" s="47"/>
      <c r="AD178" s="47"/>
      <c r="AE178" s="47"/>
      <c r="AF178" s="47"/>
      <c r="AG178" s="47">
        <v>1</v>
      </c>
      <c r="AH178" s="48"/>
      <c r="AI178" s="48"/>
      <c r="AJ178" s="48"/>
      <c r="AK178" s="48"/>
      <c r="AL178" s="48"/>
      <c r="AM178" s="48"/>
      <c r="AN178" s="50">
        <v>0</v>
      </c>
      <c r="AO178" s="51">
        <f t="shared" si="24"/>
        <v>79</v>
      </c>
      <c r="AP178" s="306">
        <f t="shared" si="23"/>
        <v>79</v>
      </c>
    </row>
    <row r="179" spans="1:43" ht="21" x14ac:dyDescent="0.35">
      <c r="A179" s="93">
        <v>12</v>
      </c>
      <c r="B179" s="5" t="s">
        <v>695</v>
      </c>
      <c r="C179" s="79" t="s">
        <v>235</v>
      </c>
      <c r="D179" s="57">
        <v>3</v>
      </c>
      <c r="E179" s="57"/>
      <c r="F179" s="58"/>
      <c r="G179" s="57"/>
      <c r="H179" s="57"/>
      <c r="I179" s="57"/>
      <c r="J179" s="55"/>
      <c r="K179" s="55">
        <v>1</v>
      </c>
      <c r="L179" s="59"/>
      <c r="M179" s="55">
        <v>2</v>
      </c>
      <c r="N179" s="55"/>
      <c r="O179" s="55"/>
      <c r="P179" s="57">
        <v>19</v>
      </c>
      <c r="Q179" s="57"/>
      <c r="R179" s="57">
        <v>5</v>
      </c>
      <c r="S179" s="57"/>
      <c r="T179" s="57"/>
      <c r="U179" s="57"/>
      <c r="V179" s="55"/>
      <c r="W179" s="55"/>
      <c r="X179" s="55"/>
      <c r="Y179" s="55"/>
      <c r="Z179" s="55"/>
      <c r="AA179" s="55"/>
      <c r="AB179" s="57"/>
      <c r="AC179" s="57"/>
      <c r="AD179" s="57"/>
      <c r="AE179" s="57"/>
      <c r="AF179" s="57"/>
      <c r="AG179" s="57"/>
      <c r="AH179" s="55"/>
      <c r="AI179" s="55"/>
      <c r="AJ179" s="55"/>
      <c r="AK179" s="55"/>
      <c r="AL179" s="55"/>
      <c r="AM179" s="55"/>
      <c r="AN179" s="60">
        <v>0</v>
      </c>
      <c r="AO179" s="61">
        <f t="shared" si="24"/>
        <v>30</v>
      </c>
      <c r="AP179" s="306">
        <f t="shared" si="23"/>
        <v>30</v>
      </c>
      <c r="AQ179" s="17"/>
    </row>
    <row r="180" spans="1:43" ht="21" x14ac:dyDescent="0.35">
      <c r="A180" s="93">
        <v>13</v>
      </c>
      <c r="B180" s="5" t="s">
        <v>695</v>
      </c>
      <c r="C180" s="79" t="s">
        <v>236</v>
      </c>
      <c r="D180" s="47">
        <v>3</v>
      </c>
      <c r="E180" s="47"/>
      <c r="F180" s="47"/>
      <c r="G180" s="47"/>
      <c r="H180" s="47"/>
      <c r="I180" s="47"/>
      <c r="J180" s="48"/>
      <c r="K180" s="48"/>
      <c r="L180" s="48">
        <v>3</v>
      </c>
      <c r="M180" s="48">
        <v>17</v>
      </c>
      <c r="N180" s="48"/>
      <c r="O180" s="48"/>
      <c r="P180" s="47">
        <v>28</v>
      </c>
      <c r="Q180" s="47"/>
      <c r="R180" s="47">
        <v>7</v>
      </c>
      <c r="S180" s="47"/>
      <c r="T180" s="47"/>
      <c r="U180" s="47"/>
      <c r="V180" s="48"/>
      <c r="W180" s="48"/>
      <c r="X180" s="48">
        <v>1</v>
      </c>
      <c r="Y180" s="48"/>
      <c r="Z180" s="48"/>
      <c r="AA180" s="48"/>
      <c r="AB180" s="47"/>
      <c r="AC180" s="47"/>
      <c r="AD180" s="47"/>
      <c r="AE180" s="47"/>
      <c r="AF180" s="47"/>
      <c r="AG180" s="47">
        <v>1</v>
      </c>
      <c r="AH180" s="48">
        <v>1</v>
      </c>
      <c r="AI180" s="48"/>
      <c r="AJ180" s="48"/>
      <c r="AK180" s="48"/>
      <c r="AL180" s="48"/>
      <c r="AM180" s="48"/>
      <c r="AN180" s="50">
        <v>0</v>
      </c>
      <c r="AO180" s="51">
        <f t="shared" si="24"/>
        <v>61</v>
      </c>
      <c r="AP180" s="306">
        <f t="shared" si="23"/>
        <v>61</v>
      </c>
    </row>
    <row r="181" spans="1:43" ht="21" x14ac:dyDescent="0.35">
      <c r="A181" s="93">
        <v>14</v>
      </c>
      <c r="B181" s="5" t="s">
        <v>695</v>
      </c>
      <c r="C181" s="79" t="s">
        <v>237</v>
      </c>
      <c r="D181" s="57">
        <v>24</v>
      </c>
      <c r="E181" s="57"/>
      <c r="F181" s="58">
        <v>3</v>
      </c>
      <c r="G181" s="57"/>
      <c r="H181" s="57"/>
      <c r="I181" s="57">
        <v>1</v>
      </c>
      <c r="J181" s="55"/>
      <c r="K181" s="55">
        <v>3</v>
      </c>
      <c r="L181" s="59">
        <v>9</v>
      </c>
      <c r="M181" s="55">
        <v>46</v>
      </c>
      <c r="N181" s="55">
        <v>3</v>
      </c>
      <c r="O181" s="55"/>
      <c r="P181" s="57">
        <v>179</v>
      </c>
      <c r="Q181" s="57"/>
      <c r="R181" s="57">
        <v>137</v>
      </c>
      <c r="S181" s="57"/>
      <c r="T181" s="57"/>
      <c r="U181" s="57"/>
      <c r="V181" s="55"/>
      <c r="W181" s="55"/>
      <c r="X181" s="55">
        <v>1</v>
      </c>
      <c r="Y181" s="55"/>
      <c r="Z181" s="55"/>
      <c r="AA181" s="55"/>
      <c r="AB181" s="57"/>
      <c r="AC181" s="57"/>
      <c r="AD181" s="57"/>
      <c r="AE181" s="57"/>
      <c r="AF181" s="57"/>
      <c r="AG181" s="57"/>
      <c r="AH181" s="55"/>
      <c r="AI181" s="55"/>
      <c r="AJ181" s="55"/>
      <c r="AK181" s="55"/>
      <c r="AL181" s="55"/>
      <c r="AM181" s="55"/>
      <c r="AN181" s="60">
        <v>0</v>
      </c>
      <c r="AO181" s="51">
        <f t="shared" si="24"/>
        <v>406</v>
      </c>
      <c r="AP181" s="306">
        <f t="shared" si="23"/>
        <v>406</v>
      </c>
    </row>
    <row r="182" spans="1:43" ht="21" x14ac:dyDescent="0.35">
      <c r="A182" s="93">
        <v>15</v>
      </c>
      <c r="B182" s="5" t="s">
        <v>695</v>
      </c>
      <c r="C182" s="117" t="s">
        <v>238</v>
      </c>
      <c r="D182" s="57">
        <v>14</v>
      </c>
      <c r="E182" s="47"/>
      <c r="F182" s="53"/>
      <c r="G182" s="47"/>
      <c r="H182" s="47"/>
      <c r="I182" s="47">
        <v>2</v>
      </c>
      <c r="J182" s="48"/>
      <c r="K182" s="48">
        <v>2</v>
      </c>
      <c r="L182" s="54">
        <v>3</v>
      </c>
      <c r="M182" s="48">
        <v>88</v>
      </c>
      <c r="N182" s="48"/>
      <c r="O182" s="48"/>
      <c r="P182" s="57">
        <v>70</v>
      </c>
      <c r="Q182" s="47"/>
      <c r="R182" s="47">
        <v>19</v>
      </c>
      <c r="S182" s="47"/>
      <c r="T182" s="47"/>
      <c r="U182" s="47">
        <v>1</v>
      </c>
      <c r="V182" s="55"/>
      <c r="W182" s="48"/>
      <c r="X182" s="48"/>
      <c r="Y182" s="48"/>
      <c r="Z182" s="48"/>
      <c r="AA182" s="48"/>
      <c r="AB182" s="47"/>
      <c r="AC182" s="47"/>
      <c r="AD182" s="47"/>
      <c r="AE182" s="47"/>
      <c r="AF182" s="47"/>
      <c r="AG182" s="47">
        <v>1</v>
      </c>
      <c r="AH182" s="48"/>
      <c r="AI182" s="48"/>
      <c r="AJ182" s="48"/>
      <c r="AK182" s="48"/>
      <c r="AL182" s="48"/>
      <c r="AM182" s="48"/>
      <c r="AN182" s="50">
        <v>0</v>
      </c>
      <c r="AO182" s="51">
        <f t="shared" si="24"/>
        <v>200</v>
      </c>
      <c r="AP182" s="306">
        <f t="shared" si="23"/>
        <v>200</v>
      </c>
    </row>
    <row r="183" spans="1:43" ht="21" x14ac:dyDescent="0.35">
      <c r="A183" s="93">
        <v>16</v>
      </c>
      <c r="B183" s="5" t="s">
        <v>695</v>
      </c>
      <c r="C183" s="79" t="s">
        <v>239</v>
      </c>
      <c r="D183" s="57">
        <v>137</v>
      </c>
      <c r="E183" s="57"/>
      <c r="F183" s="58">
        <v>11</v>
      </c>
      <c r="G183" s="57"/>
      <c r="H183" s="57"/>
      <c r="I183" s="57">
        <v>3</v>
      </c>
      <c r="J183" s="55"/>
      <c r="K183" s="55">
        <v>5</v>
      </c>
      <c r="L183" s="59">
        <v>17</v>
      </c>
      <c r="M183" s="55">
        <v>479</v>
      </c>
      <c r="N183" s="55">
        <v>5</v>
      </c>
      <c r="O183" s="55"/>
      <c r="P183" s="57">
        <v>545</v>
      </c>
      <c r="Q183" s="57"/>
      <c r="R183" s="57">
        <v>479</v>
      </c>
      <c r="S183" s="57"/>
      <c r="T183" s="57"/>
      <c r="U183" s="57"/>
      <c r="V183" s="55"/>
      <c r="W183" s="55"/>
      <c r="X183" s="55">
        <v>5</v>
      </c>
      <c r="Y183" s="55"/>
      <c r="Z183" s="55"/>
      <c r="AA183" s="55"/>
      <c r="AB183" s="57"/>
      <c r="AC183" s="57"/>
      <c r="AD183" s="57"/>
      <c r="AE183" s="57">
        <v>5</v>
      </c>
      <c r="AF183" s="57">
        <v>1</v>
      </c>
      <c r="AG183" s="57">
        <v>3</v>
      </c>
      <c r="AH183" s="55">
        <v>2</v>
      </c>
      <c r="AI183" s="55"/>
      <c r="AJ183" s="55">
        <v>1</v>
      </c>
      <c r="AK183" s="55"/>
      <c r="AL183" s="55"/>
      <c r="AM183" s="55"/>
      <c r="AN183" s="60">
        <v>0</v>
      </c>
      <c r="AO183" s="51">
        <f t="shared" si="24"/>
        <v>1698</v>
      </c>
      <c r="AP183" s="306">
        <f t="shared" si="23"/>
        <v>1698</v>
      </c>
    </row>
    <row r="184" spans="1:43" ht="21" x14ac:dyDescent="0.35">
      <c r="A184" s="77">
        <v>1</v>
      </c>
      <c r="B184" s="5" t="s">
        <v>696</v>
      </c>
      <c r="C184" s="118" t="s">
        <v>240</v>
      </c>
      <c r="D184" s="52">
        <v>16</v>
      </c>
      <c r="E184" s="47"/>
      <c r="F184" s="53">
        <v>5</v>
      </c>
      <c r="G184" s="47"/>
      <c r="H184" s="47">
        <v>1</v>
      </c>
      <c r="I184" s="47">
        <v>9</v>
      </c>
      <c r="J184" s="48"/>
      <c r="K184" s="48">
        <v>5</v>
      </c>
      <c r="L184" s="54">
        <v>10</v>
      </c>
      <c r="M184" s="48">
        <v>65</v>
      </c>
      <c r="N184" s="48">
        <v>1</v>
      </c>
      <c r="O184" s="48">
        <v>2</v>
      </c>
      <c r="P184" s="47">
        <v>203</v>
      </c>
      <c r="Q184" s="47"/>
      <c r="R184" s="47">
        <v>50</v>
      </c>
      <c r="S184" s="47"/>
      <c r="T184" s="47">
        <v>2</v>
      </c>
      <c r="U184" s="47"/>
      <c r="V184" s="55"/>
      <c r="W184" s="48"/>
      <c r="X184" s="48">
        <v>7</v>
      </c>
      <c r="Y184" s="48"/>
      <c r="Z184" s="48">
        <v>1</v>
      </c>
      <c r="AA184" s="48"/>
      <c r="AB184" s="47">
        <v>1</v>
      </c>
      <c r="AC184" s="47"/>
      <c r="AD184" s="47"/>
      <c r="AE184" s="47">
        <v>1</v>
      </c>
      <c r="AF184" s="47"/>
      <c r="AG184" s="47">
        <v>1</v>
      </c>
      <c r="AH184" s="48">
        <v>1</v>
      </c>
      <c r="AI184" s="48"/>
      <c r="AJ184" s="48"/>
      <c r="AK184" s="48"/>
      <c r="AL184" s="48"/>
      <c r="AM184" s="48"/>
      <c r="AN184" s="50">
        <v>1</v>
      </c>
      <c r="AO184" s="51">
        <v>148</v>
      </c>
      <c r="AP184" s="305">
        <f>D184+E184+F184+G184+H184+I184+J184+K184+L184+M184+N184+O184+P184+Q184+R184+S184+T184+U184+V184+W184+X184+Y184+Z184+AA184+AB184+AC184+AD184+AE184+AF184+AG184+AH184+AI184+AJ184+AK184+AL184+AM184+AN184</f>
        <v>382</v>
      </c>
    </row>
    <row r="185" spans="1:43" ht="21" x14ac:dyDescent="0.35">
      <c r="A185" s="109">
        <v>2</v>
      </c>
      <c r="B185" s="5" t="s">
        <v>696</v>
      </c>
      <c r="C185" s="119" t="s">
        <v>241</v>
      </c>
      <c r="D185" s="111"/>
      <c r="E185" s="82"/>
      <c r="F185" s="83"/>
      <c r="G185" s="82"/>
      <c r="H185" s="82"/>
      <c r="I185" s="82"/>
      <c r="J185" s="84"/>
      <c r="K185" s="84"/>
      <c r="L185" s="85"/>
      <c r="M185" s="84"/>
      <c r="N185" s="84"/>
      <c r="O185" s="84"/>
      <c r="P185" s="82"/>
      <c r="Q185" s="82"/>
      <c r="R185" s="82"/>
      <c r="S185" s="82"/>
      <c r="T185" s="82"/>
      <c r="U185" s="82"/>
      <c r="V185" s="84"/>
      <c r="W185" s="84"/>
      <c r="X185" s="84"/>
      <c r="Y185" s="84"/>
      <c r="Z185" s="84"/>
      <c r="AA185" s="84"/>
      <c r="AB185" s="82"/>
      <c r="AC185" s="82"/>
      <c r="AD185" s="82"/>
      <c r="AE185" s="82"/>
      <c r="AF185" s="82"/>
      <c r="AG185" s="82"/>
      <c r="AH185" s="84"/>
      <c r="AI185" s="84"/>
      <c r="AJ185" s="84"/>
      <c r="AK185" s="84"/>
      <c r="AL185" s="84"/>
      <c r="AM185" s="84"/>
      <c r="AN185" s="86">
        <v>0</v>
      </c>
      <c r="AO185" s="51">
        <f>SUM(D185:AN185)</f>
        <v>0</v>
      </c>
      <c r="AP185" s="305">
        <f t="shared" ref="AP185:AP196" si="25">D185+E185+F185+G185+H185+I185+J185+K185+L185+M185+N185+O185+P185+Q185+R185+S185+T185+U185+V185+W185+X185+Y185+Z185+AA185+AB185+AC185+AD185+AE185+AF185+AG185+AH185+AI185+AJ185+AK185+AL185+AM185+AN185</f>
        <v>0</v>
      </c>
    </row>
    <row r="186" spans="1:43" ht="21" x14ac:dyDescent="0.35">
      <c r="A186" s="77">
        <v>3</v>
      </c>
      <c r="B186" s="5" t="s">
        <v>696</v>
      </c>
      <c r="C186" s="118" t="s">
        <v>242</v>
      </c>
      <c r="D186" s="52">
        <v>8</v>
      </c>
      <c r="E186" s="57"/>
      <c r="F186" s="58">
        <v>2</v>
      </c>
      <c r="G186" s="57"/>
      <c r="H186" s="57"/>
      <c r="I186" s="57">
        <v>1</v>
      </c>
      <c r="J186" s="55"/>
      <c r="K186" s="55">
        <v>1</v>
      </c>
      <c r="L186" s="59">
        <v>2</v>
      </c>
      <c r="M186" s="55">
        <v>11</v>
      </c>
      <c r="N186" s="55"/>
      <c r="O186" s="55"/>
      <c r="P186" s="57">
        <v>37</v>
      </c>
      <c r="Q186" s="57"/>
      <c r="R186" s="57">
        <v>10</v>
      </c>
      <c r="S186" s="57"/>
      <c r="T186" s="57"/>
      <c r="U186" s="57"/>
      <c r="V186" s="55"/>
      <c r="W186" s="55"/>
      <c r="X186" s="55">
        <v>1</v>
      </c>
      <c r="Y186" s="55"/>
      <c r="Z186" s="55"/>
      <c r="AA186" s="55"/>
      <c r="AB186" s="57"/>
      <c r="AC186" s="57"/>
      <c r="AD186" s="57"/>
      <c r="AE186" s="57"/>
      <c r="AF186" s="57"/>
      <c r="AG186" s="57"/>
      <c r="AH186" s="55">
        <v>1</v>
      </c>
      <c r="AI186" s="55"/>
      <c r="AJ186" s="55"/>
      <c r="AK186" s="55"/>
      <c r="AL186" s="55"/>
      <c r="AM186" s="55"/>
      <c r="AN186" s="60"/>
      <c r="AO186" s="51">
        <v>74</v>
      </c>
      <c r="AP186" s="305">
        <f t="shared" si="25"/>
        <v>74</v>
      </c>
    </row>
    <row r="187" spans="1:43" ht="21" x14ac:dyDescent="0.35">
      <c r="A187" s="77">
        <v>4</v>
      </c>
      <c r="B187" s="5" t="s">
        <v>696</v>
      </c>
      <c r="C187" s="120" t="s">
        <v>243</v>
      </c>
      <c r="D187" s="52">
        <v>19</v>
      </c>
      <c r="E187" s="57">
        <v>1</v>
      </c>
      <c r="F187" s="53">
        <v>12</v>
      </c>
      <c r="G187" s="47"/>
      <c r="H187" s="47"/>
      <c r="I187" s="47"/>
      <c r="J187" s="48"/>
      <c r="K187" s="55">
        <v>1</v>
      </c>
      <c r="L187" s="54">
        <v>4</v>
      </c>
      <c r="M187" s="48">
        <v>136</v>
      </c>
      <c r="N187" s="48"/>
      <c r="O187" s="48">
        <v>1</v>
      </c>
      <c r="P187" s="47">
        <v>168</v>
      </c>
      <c r="Q187" s="47"/>
      <c r="R187" s="47">
        <v>42</v>
      </c>
      <c r="S187" s="47"/>
      <c r="T187" s="47"/>
      <c r="U187" s="47"/>
      <c r="V187" s="55"/>
      <c r="W187" s="48"/>
      <c r="X187" s="48">
        <v>1</v>
      </c>
      <c r="Y187" s="48"/>
      <c r="Z187" s="48"/>
      <c r="AA187" s="48"/>
      <c r="AB187" s="47"/>
      <c r="AC187" s="47"/>
      <c r="AD187" s="47">
        <v>1</v>
      </c>
      <c r="AE187" s="47"/>
      <c r="AF187" s="47"/>
      <c r="AG187" s="47">
        <v>1</v>
      </c>
      <c r="AH187" s="48">
        <v>1</v>
      </c>
      <c r="AI187" s="48"/>
      <c r="AJ187" s="48"/>
      <c r="AK187" s="48"/>
      <c r="AL187" s="48"/>
      <c r="AM187" s="48"/>
      <c r="AN187" s="121">
        <v>1</v>
      </c>
      <c r="AO187" s="50">
        <v>384</v>
      </c>
      <c r="AP187" s="305">
        <f t="shared" si="25"/>
        <v>389</v>
      </c>
    </row>
    <row r="188" spans="1:43" ht="21" x14ac:dyDescent="0.35">
      <c r="A188" s="77">
        <v>5</v>
      </c>
      <c r="B188" s="5" t="s">
        <v>696</v>
      </c>
      <c r="C188" s="118" t="s">
        <v>244</v>
      </c>
      <c r="D188" s="52">
        <v>20</v>
      </c>
      <c r="E188" s="57"/>
      <c r="F188" s="58">
        <v>1</v>
      </c>
      <c r="G188" s="57"/>
      <c r="H188" s="57"/>
      <c r="I188" s="57">
        <v>2</v>
      </c>
      <c r="J188" s="55"/>
      <c r="K188" s="55"/>
      <c r="L188" s="59">
        <v>6</v>
      </c>
      <c r="M188" s="55">
        <v>46</v>
      </c>
      <c r="N188" s="55">
        <v>1</v>
      </c>
      <c r="O188" s="55"/>
      <c r="P188" s="57">
        <v>225</v>
      </c>
      <c r="Q188" s="57"/>
      <c r="R188" s="57">
        <v>143</v>
      </c>
      <c r="S188" s="57"/>
      <c r="T188" s="57"/>
      <c r="U188" s="57"/>
      <c r="V188" s="55"/>
      <c r="W188" s="55"/>
      <c r="X188" s="55">
        <v>1</v>
      </c>
      <c r="Y188" s="55"/>
      <c r="Z188" s="55"/>
      <c r="AA188" s="55"/>
      <c r="AB188" s="57"/>
      <c r="AC188" s="57"/>
      <c r="AD188" s="57"/>
      <c r="AE188" s="57"/>
      <c r="AF188" s="57"/>
      <c r="AG188" s="57"/>
      <c r="AH188" s="55">
        <v>1</v>
      </c>
      <c r="AI188" s="55"/>
      <c r="AJ188" s="55"/>
      <c r="AK188" s="55"/>
      <c r="AL188" s="55"/>
      <c r="AM188" s="55"/>
      <c r="AN188" s="60">
        <v>0</v>
      </c>
      <c r="AO188" s="61">
        <v>447</v>
      </c>
      <c r="AP188" s="305">
        <f t="shared" si="25"/>
        <v>446</v>
      </c>
      <c r="AQ188" s="17"/>
    </row>
    <row r="189" spans="1:43" ht="21" x14ac:dyDescent="0.35">
      <c r="A189" s="77">
        <v>6</v>
      </c>
      <c r="B189" s="5" t="s">
        <v>696</v>
      </c>
      <c r="C189" s="120" t="s">
        <v>245</v>
      </c>
      <c r="D189" s="52">
        <v>12</v>
      </c>
      <c r="E189" s="57"/>
      <c r="F189" s="53"/>
      <c r="G189" s="47"/>
      <c r="H189" s="47"/>
      <c r="I189" s="47">
        <v>2</v>
      </c>
      <c r="J189" s="48"/>
      <c r="K189" s="55"/>
      <c r="L189" s="54"/>
      <c r="M189" s="48">
        <v>19</v>
      </c>
      <c r="N189" s="48"/>
      <c r="O189" s="48"/>
      <c r="P189" s="47">
        <v>75</v>
      </c>
      <c r="Q189" s="47"/>
      <c r="R189" s="47">
        <v>30</v>
      </c>
      <c r="S189" s="47"/>
      <c r="T189" s="47"/>
      <c r="U189" s="47"/>
      <c r="V189" s="55"/>
      <c r="W189" s="48"/>
      <c r="X189" s="48"/>
      <c r="Y189" s="48"/>
      <c r="Z189" s="48"/>
      <c r="AA189" s="48"/>
      <c r="AB189" s="47"/>
      <c r="AC189" s="47"/>
      <c r="AD189" s="47"/>
      <c r="AE189" s="47"/>
      <c r="AF189" s="47"/>
      <c r="AG189" s="47"/>
      <c r="AH189" s="48"/>
      <c r="AI189" s="48"/>
      <c r="AJ189" s="48"/>
      <c r="AK189" s="48"/>
      <c r="AL189" s="48"/>
      <c r="AM189" s="48"/>
      <c r="AN189" s="50">
        <v>0</v>
      </c>
      <c r="AO189" s="51">
        <v>138</v>
      </c>
      <c r="AP189" s="305">
        <f t="shared" si="25"/>
        <v>138</v>
      </c>
    </row>
    <row r="190" spans="1:43" ht="21" x14ac:dyDescent="0.35">
      <c r="A190" s="77">
        <v>7</v>
      </c>
      <c r="B190" s="5" t="s">
        <v>696</v>
      </c>
      <c r="C190" s="120" t="s">
        <v>246</v>
      </c>
      <c r="D190" s="52">
        <v>1</v>
      </c>
      <c r="E190" s="57"/>
      <c r="F190" s="53">
        <v>1</v>
      </c>
      <c r="G190" s="47"/>
      <c r="H190" s="47">
        <v>1</v>
      </c>
      <c r="I190" s="47">
        <v>5</v>
      </c>
      <c r="J190" s="48"/>
      <c r="K190" s="55">
        <v>5</v>
      </c>
      <c r="L190" s="54">
        <v>1</v>
      </c>
      <c r="M190" s="48">
        <v>64</v>
      </c>
      <c r="N190" s="48">
        <v>3</v>
      </c>
      <c r="O190" s="48"/>
      <c r="P190" s="47">
        <v>57</v>
      </c>
      <c r="Q190" s="47"/>
      <c r="R190" s="47">
        <v>7</v>
      </c>
      <c r="S190" s="47"/>
      <c r="T190" s="47"/>
      <c r="U190" s="47"/>
      <c r="V190" s="55"/>
      <c r="W190" s="48"/>
      <c r="X190" s="48">
        <v>1</v>
      </c>
      <c r="Y190" s="48"/>
      <c r="Z190" s="48"/>
      <c r="AA190" s="48"/>
      <c r="AB190" s="47"/>
      <c r="AC190" s="47"/>
      <c r="AD190" s="47"/>
      <c r="AE190" s="47">
        <v>7</v>
      </c>
      <c r="AF190" s="47"/>
      <c r="AG190" s="47">
        <v>1</v>
      </c>
      <c r="AH190" s="48">
        <v>1</v>
      </c>
      <c r="AI190" s="48"/>
      <c r="AJ190" s="48"/>
      <c r="AK190" s="48"/>
      <c r="AL190" s="48"/>
      <c r="AM190" s="48"/>
      <c r="AN190" s="50">
        <v>0</v>
      </c>
      <c r="AO190" s="51">
        <v>94</v>
      </c>
      <c r="AP190" s="305">
        <f t="shared" si="25"/>
        <v>155</v>
      </c>
    </row>
    <row r="191" spans="1:43" ht="21" x14ac:dyDescent="0.35">
      <c r="A191" s="77">
        <v>8</v>
      </c>
      <c r="B191" s="5" t="s">
        <v>696</v>
      </c>
      <c r="C191" s="120" t="s">
        <v>247</v>
      </c>
      <c r="D191" s="46">
        <v>9</v>
      </c>
      <c r="E191" s="47"/>
      <c r="F191" s="47">
        <v>2</v>
      </c>
      <c r="G191" s="47"/>
      <c r="H191" s="47"/>
      <c r="I191" s="47"/>
      <c r="J191" s="48"/>
      <c r="K191" s="48">
        <v>3</v>
      </c>
      <c r="L191" s="48">
        <v>1</v>
      </c>
      <c r="M191" s="48">
        <v>68</v>
      </c>
      <c r="N191" s="48"/>
      <c r="O191" s="48"/>
      <c r="P191" s="47">
        <v>82</v>
      </c>
      <c r="Q191" s="47"/>
      <c r="R191" s="47">
        <v>13</v>
      </c>
      <c r="S191" s="47"/>
      <c r="T191" s="47"/>
      <c r="U191" s="47"/>
      <c r="V191" s="48"/>
      <c r="W191" s="48"/>
      <c r="X191" s="48"/>
      <c r="Y191" s="48"/>
      <c r="Z191" s="48"/>
      <c r="AA191" s="48"/>
      <c r="AB191" s="47"/>
      <c r="AC191" s="47"/>
      <c r="AD191" s="47"/>
      <c r="AE191" s="47"/>
      <c r="AF191" s="47"/>
      <c r="AG191" s="47">
        <v>1</v>
      </c>
      <c r="AH191" s="48"/>
      <c r="AI191" s="48"/>
      <c r="AJ191" s="48"/>
      <c r="AK191" s="48"/>
      <c r="AL191" s="48"/>
      <c r="AM191" s="48"/>
      <c r="AN191" s="50">
        <v>0</v>
      </c>
      <c r="AO191" s="51">
        <v>179</v>
      </c>
      <c r="AP191" s="305">
        <f t="shared" si="25"/>
        <v>179</v>
      </c>
    </row>
    <row r="192" spans="1:43" ht="21" x14ac:dyDescent="0.35">
      <c r="A192" s="77">
        <v>9</v>
      </c>
      <c r="B192" s="5" t="s">
        <v>696</v>
      </c>
      <c r="C192" s="120" t="s">
        <v>248</v>
      </c>
      <c r="D192" s="46">
        <v>4</v>
      </c>
      <c r="E192" s="47"/>
      <c r="F192" s="47">
        <v>2</v>
      </c>
      <c r="G192" s="47"/>
      <c r="H192" s="47"/>
      <c r="I192" s="47"/>
      <c r="J192" s="48"/>
      <c r="K192" s="48">
        <v>2</v>
      </c>
      <c r="L192" s="48">
        <v>1</v>
      </c>
      <c r="M192" s="48">
        <v>72</v>
      </c>
      <c r="N192" s="48"/>
      <c r="O192" s="48"/>
      <c r="P192" s="47">
        <v>111</v>
      </c>
      <c r="Q192" s="47"/>
      <c r="R192" s="47">
        <v>6</v>
      </c>
      <c r="S192" s="47"/>
      <c r="T192" s="47">
        <v>3</v>
      </c>
      <c r="U192" s="47"/>
      <c r="V192" s="48"/>
      <c r="W192" s="48"/>
      <c r="X192" s="48"/>
      <c r="Y192" s="48"/>
      <c r="Z192" s="48"/>
      <c r="AA192" s="48"/>
      <c r="AB192" s="47"/>
      <c r="AC192" s="47"/>
      <c r="AD192" s="47"/>
      <c r="AE192" s="47"/>
      <c r="AF192" s="47"/>
      <c r="AG192" s="47"/>
      <c r="AH192" s="48"/>
      <c r="AI192" s="48"/>
      <c r="AJ192" s="48"/>
      <c r="AK192" s="48"/>
      <c r="AL192" s="48"/>
      <c r="AM192" s="48"/>
      <c r="AN192" s="50">
        <v>0</v>
      </c>
      <c r="AO192" s="51">
        <v>201</v>
      </c>
      <c r="AP192" s="305">
        <f t="shared" si="25"/>
        <v>201</v>
      </c>
    </row>
    <row r="193" spans="1:43" ht="21" x14ac:dyDescent="0.35">
      <c r="A193" s="77">
        <v>10</v>
      </c>
      <c r="B193" s="5" t="s">
        <v>696</v>
      </c>
      <c r="C193" s="118" t="s">
        <v>249</v>
      </c>
      <c r="D193" s="52">
        <v>13</v>
      </c>
      <c r="E193" s="47"/>
      <c r="F193" s="53"/>
      <c r="G193" s="47"/>
      <c r="H193" s="47"/>
      <c r="I193" s="47"/>
      <c r="J193" s="48"/>
      <c r="K193" s="48">
        <v>1</v>
      </c>
      <c r="L193" s="54">
        <v>4</v>
      </c>
      <c r="M193" s="48">
        <v>27</v>
      </c>
      <c r="N193" s="48">
        <v>2</v>
      </c>
      <c r="O193" s="48"/>
      <c r="P193" s="47">
        <v>42</v>
      </c>
      <c r="Q193" s="47"/>
      <c r="R193" s="47">
        <v>53</v>
      </c>
      <c r="S193" s="47"/>
      <c r="T193" s="47"/>
      <c r="U193" s="47"/>
      <c r="V193" s="55"/>
      <c r="W193" s="48"/>
      <c r="X193" s="48">
        <v>3</v>
      </c>
      <c r="Y193" s="48"/>
      <c r="Z193" s="48"/>
      <c r="AA193" s="48"/>
      <c r="AB193" s="47"/>
      <c r="AC193" s="47"/>
      <c r="AD193" s="47"/>
      <c r="AE193" s="47"/>
      <c r="AF193" s="47"/>
      <c r="AG193" s="47"/>
      <c r="AH193" s="48"/>
      <c r="AI193" s="48"/>
      <c r="AJ193" s="48"/>
      <c r="AK193" s="48"/>
      <c r="AL193" s="48"/>
      <c r="AM193" s="48"/>
      <c r="AN193" s="50">
        <v>0</v>
      </c>
      <c r="AO193" s="51">
        <v>144</v>
      </c>
      <c r="AP193" s="305">
        <f t="shared" si="25"/>
        <v>145</v>
      </c>
    </row>
    <row r="194" spans="1:43" ht="21" x14ac:dyDescent="0.35">
      <c r="A194" s="77">
        <v>11</v>
      </c>
      <c r="B194" s="5" t="s">
        <v>696</v>
      </c>
      <c r="C194" s="118" t="s">
        <v>250</v>
      </c>
      <c r="D194" s="52">
        <v>31</v>
      </c>
      <c r="E194" s="57"/>
      <c r="F194" s="57">
        <v>5</v>
      </c>
      <c r="G194" s="57"/>
      <c r="H194" s="57"/>
      <c r="I194" s="57">
        <v>1</v>
      </c>
      <c r="J194" s="55"/>
      <c r="K194" s="55">
        <v>3</v>
      </c>
      <c r="L194" s="55">
        <v>1</v>
      </c>
      <c r="M194" s="55">
        <v>65</v>
      </c>
      <c r="N194" s="55">
        <v>2</v>
      </c>
      <c r="O194" s="55"/>
      <c r="P194" s="57">
        <v>55</v>
      </c>
      <c r="Q194" s="57"/>
      <c r="R194" s="57">
        <v>6</v>
      </c>
      <c r="S194" s="57"/>
      <c r="T194" s="57"/>
      <c r="U194" s="57"/>
      <c r="V194" s="55"/>
      <c r="W194" s="55"/>
      <c r="X194" s="55"/>
      <c r="Y194" s="55"/>
      <c r="Z194" s="55"/>
      <c r="AA194" s="55"/>
      <c r="AB194" s="57"/>
      <c r="AC194" s="57"/>
      <c r="AD194" s="57"/>
      <c r="AE194" s="57">
        <v>2</v>
      </c>
      <c r="AF194" s="57"/>
      <c r="AG194" s="57"/>
      <c r="AH194" s="55">
        <v>3</v>
      </c>
      <c r="AI194" s="55"/>
      <c r="AJ194" s="55"/>
      <c r="AK194" s="55"/>
      <c r="AL194" s="55"/>
      <c r="AM194" s="55"/>
      <c r="AN194" s="60"/>
      <c r="AO194" s="51">
        <v>213</v>
      </c>
      <c r="AP194" s="305">
        <f t="shared" si="25"/>
        <v>174</v>
      </c>
    </row>
    <row r="195" spans="1:43" ht="21" x14ac:dyDescent="0.35">
      <c r="A195" s="77">
        <v>12</v>
      </c>
      <c r="B195" s="5" t="s">
        <v>696</v>
      </c>
      <c r="C195" s="120" t="s">
        <v>251</v>
      </c>
      <c r="D195" s="46">
        <v>19</v>
      </c>
      <c r="E195" s="47"/>
      <c r="F195" s="53">
        <v>2</v>
      </c>
      <c r="G195" s="47"/>
      <c r="H195" s="47"/>
      <c r="I195" s="47"/>
      <c r="J195" s="48"/>
      <c r="K195" s="48">
        <v>3</v>
      </c>
      <c r="L195" s="54">
        <v>2</v>
      </c>
      <c r="M195" s="48">
        <v>96</v>
      </c>
      <c r="N195" s="48"/>
      <c r="O195" s="48">
        <v>1</v>
      </c>
      <c r="P195" s="47">
        <v>33</v>
      </c>
      <c r="Q195" s="47"/>
      <c r="R195" s="47">
        <v>35</v>
      </c>
      <c r="S195" s="47"/>
      <c r="T195" s="47"/>
      <c r="U195" s="47"/>
      <c r="V195" s="55"/>
      <c r="W195" s="48"/>
      <c r="X195" s="48"/>
      <c r="Y195" s="48"/>
      <c r="Z195" s="48">
        <v>1</v>
      </c>
      <c r="AA195" s="48"/>
      <c r="AB195" s="47"/>
      <c r="AC195" s="47">
        <v>3</v>
      </c>
      <c r="AD195" s="47"/>
      <c r="AE195" s="47">
        <v>1</v>
      </c>
      <c r="AF195" s="47">
        <v>1</v>
      </c>
      <c r="AG195" s="47"/>
      <c r="AH195" s="48"/>
      <c r="AI195" s="48"/>
      <c r="AJ195" s="48">
        <v>2</v>
      </c>
      <c r="AK195" s="48"/>
      <c r="AL195" s="48"/>
      <c r="AM195" s="48"/>
      <c r="AN195" s="50"/>
      <c r="AO195" s="51">
        <v>200</v>
      </c>
      <c r="AP195" s="305">
        <f t="shared" si="25"/>
        <v>199</v>
      </c>
    </row>
    <row r="196" spans="1:43" ht="21" x14ac:dyDescent="0.35">
      <c r="A196" s="77">
        <v>13</v>
      </c>
      <c r="B196" s="5" t="s">
        <v>696</v>
      </c>
      <c r="C196" s="120" t="s">
        <v>252</v>
      </c>
      <c r="D196" s="52">
        <v>19</v>
      </c>
      <c r="E196" s="47"/>
      <c r="F196" s="53">
        <v>4</v>
      </c>
      <c r="G196" s="47"/>
      <c r="H196" s="47"/>
      <c r="I196" s="47">
        <v>2</v>
      </c>
      <c r="J196" s="48"/>
      <c r="K196" s="48">
        <v>4</v>
      </c>
      <c r="L196" s="54">
        <v>3</v>
      </c>
      <c r="M196" s="48">
        <v>126</v>
      </c>
      <c r="N196" s="48">
        <v>2</v>
      </c>
      <c r="O196" s="48"/>
      <c r="P196" s="47">
        <v>44</v>
      </c>
      <c r="Q196" s="47"/>
      <c r="R196" s="47"/>
      <c r="S196" s="47"/>
      <c r="T196" s="47"/>
      <c r="U196" s="47"/>
      <c r="V196" s="55"/>
      <c r="W196" s="48"/>
      <c r="X196" s="48"/>
      <c r="Y196" s="48"/>
      <c r="Z196" s="48"/>
      <c r="AA196" s="48"/>
      <c r="AB196" s="47"/>
      <c r="AC196" s="47"/>
      <c r="AD196" s="47"/>
      <c r="AE196" s="47"/>
      <c r="AF196" s="47">
        <v>1</v>
      </c>
      <c r="AG196" s="47"/>
      <c r="AH196" s="48"/>
      <c r="AI196" s="48"/>
      <c r="AJ196" s="48"/>
      <c r="AK196" s="48"/>
      <c r="AL196" s="48"/>
      <c r="AM196" s="48"/>
      <c r="AN196" s="122">
        <v>1</v>
      </c>
      <c r="AO196" s="50">
        <v>259</v>
      </c>
      <c r="AP196" s="305">
        <f t="shared" si="25"/>
        <v>206</v>
      </c>
    </row>
    <row r="197" spans="1:43" ht="21" x14ac:dyDescent="0.35">
      <c r="A197" s="77">
        <v>1</v>
      </c>
      <c r="B197" s="5" t="s">
        <v>697</v>
      </c>
      <c r="C197" s="123" t="s">
        <v>253</v>
      </c>
      <c r="D197" s="57"/>
      <c r="E197" s="57"/>
      <c r="F197" s="58">
        <v>1</v>
      </c>
      <c r="G197" s="57"/>
      <c r="H197" s="88"/>
      <c r="I197" s="88"/>
      <c r="J197" s="124"/>
      <c r="K197" s="125"/>
      <c r="L197" s="125"/>
      <c r="M197" s="126">
        <v>6</v>
      </c>
      <c r="N197" s="76"/>
      <c r="O197" s="76"/>
      <c r="P197" s="52">
        <v>6</v>
      </c>
      <c r="Q197" s="57"/>
      <c r="R197" s="57">
        <v>1</v>
      </c>
      <c r="S197" s="57"/>
      <c r="T197" s="57"/>
      <c r="U197" s="57"/>
      <c r="V197" s="55"/>
      <c r="W197" s="55"/>
      <c r="X197" s="55"/>
      <c r="Y197" s="55"/>
      <c r="Z197" s="55"/>
      <c r="AA197" s="55"/>
      <c r="AB197" s="57"/>
      <c r="AC197" s="57"/>
      <c r="AD197" s="57"/>
      <c r="AE197" s="57"/>
      <c r="AF197" s="57"/>
      <c r="AG197" s="57">
        <v>1</v>
      </c>
      <c r="AH197" s="55"/>
      <c r="AI197" s="55"/>
      <c r="AJ197" s="55"/>
      <c r="AK197" s="55"/>
      <c r="AL197" s="55"/>
      <c r="AM197" s="55"/>
      <c r="AN197" s="60">
        <v>0</v>
      </c>
      <c r="AO197" s="51">
        <f t="shared" ref="AO197:AO206" si="26">SUM(D197:AN197)</f>
        <v>15</v>
      </c>
      <c r="AP197" s="305">
        <f>D197+E197+F197+G197+H197+I197+J197+K197+L197+M197+N197+O197+P197+Q197+R197+S197+T197+U197+V197+W197+X197+Y197+Z197+AA197+AB197+AC197+AD197+AE197+AF197+AG197+AH197+AI197+AJ197+AK197+AL197+AM197+AN197</f>
        <v>15</v>
      </c>
    </row>
    <row r="198" spans="1:43" ht="21" x14ac:dyDescent="0.35">
      <c r="A198" s="77">
        <v>2</v>
      </c>
      <c r="B198" s="5" t="s">
        <v>697</v>
      </c>
      <c r="C198" s="113" t="s">
        <v>254</v>
      </c>
      <c r="D198" s="57">
        <v>1</v>
      </c>
      <c r="E198" s="47"/>
      <c r="F198" s="53"/>
      <c r="G198" s="47"/>
      <c r="H198" s="127">
        <v>1</v>
      </c>
      <c r="I198" s="127"/>
      <c r="J198" s="128"/>
      <c r="K198" s="128"/>
      <c r="L198" s="129"/>
      <c r="M198" s="48">
        <v>7</v>
      </c>
      <c r="N198" s="128"/>
      <c r="O198" s="128"/>
      <c r="P198" s="47">
        <v>9</v>
      </c>
      <c r="Q198" s="47"/>
      <c r="R198" s="47"/>
      <c r="S198" s="47"/>
      <c r="T198" s="47"/>
      <c r="U198" s="47"/>
      <c r="V198" s="55"/>
      <c r="W198" s="48"/>
      <c r="X198" s="48"/>
      <c r="Y198" s="48"/>
      <c r="Z198" s="48"/>
      <c r="AA198" s="48"/>
      <c r="AB198" s="47"/>
      <c r="AC198" s="47"/>
      <c r="AD198" s="47"/>
      <c r="AE198" s="47"/>
      <c r="AF198" s="47"/>
      <c r="AG198" s="47"/>
      <c r="AH198" s="48"/>
      <c r="AI198" s="48"/>
      <c r="AJ198" s="48"/>
      <c r="AK198" s="48"/>
      <c r="AL198" s="48"/>
      <c r="AM198" s="48"/>
      <c r="AN198" s="50">
        <v>0</v>
      </c>
      <c r="AO198" s="51">
        <f t="shared" si="26"/>
        <v>18</v>
      </c>
      <c r="AP198" s="305">
        <f t="shared" ref="AP198:AP207" si="27">D198+E198+F198+G198+H198+I198+J198+K198+L198+M198+N198+O198+P198+Q198+R198+S198+T198+U198+V198+W198+X198+Y198+Z198+AA198+AB198+AC198+AD198+AE198+AF198+AG198+AH198+AI198+AJ198+AK198+AL198+AM198+AN198</f>
        <v>18</v>
      </c>
    </row>
    <row r="199" spans="1:43" ht="21" x14ac:dyDescent="0.35">
      <c r="A199" s="77">
        <v>3</v>
      </c>
      <c r="B199" s="5" t="s">
        <v>697</v>
      </c>
      <c r="C199" s="130" t="s">
        <v>255</v>
      </c>
      <c r="D199" s="57">
        <v>6</v>
      </c>
      <c r="E199" s="57"/>
      <c r="F199" s="58">
        <v>2</v>
      </c>
      <c r="G199" s="57"/>
      <c r="H199" s="57"/>
      <c r="I199" s="57">
        <v>2</v>
      </c>
      <c r="J199" s="55"/>
      <c r="K199" s="55">
        <v>1</v>
      </c>
      <c r="L199" s="59">
        <v>4</v>
      </c>
      <c r="M199" s="55">
        <v>48</v>
      </c>
      <c r="N199" s="55"/>
      <c r="O199" s="55"/>
      <c r="P199" s="57">
        <v>78</v>
      </c>
      <c r="Q199" s="57"/>
      <c r="R199" s="57">
        <v>4</v>
      </c>
      <c r="S199" s="57"/>
      <c r="T199" s="57"/>
      <c r="U199" s="57"/>
      <c r="V199" s="55"/>
      <c r="W199" s="55"/>
      <c r="X199" s="55">
        <v>2</v>
      </c>
      <c r="Y199" s="55"/>
      <c r="Z199" s="55"/>
      <c r="AA199" s="55"/>
      <c r="AB199" s="57"/>
      <c r="AC199" s="57"/>
      <c r="AD199" s="57"/>
      <c r="AE199" s="57"/>
      <c r="AF199" s="57"/>
      <c r="AG199" s="57">
        <v>1</v>
      </c>
      <c r="AH199" s="55"/>
      <c r="AI199" s="55"/>
      <c r="AJ199" s="55"/>
      <c r="AK199" s="55"/>
      <c r="AL199" s="55"/>
      <c r="AM199" s="55"/>
      <c r="AN199" s="60">
        <v>0</v>
      </c>
      <c r="AO199" s="51">
        <f t="shared" si="26"/>
        <v>148</v>
      </c>
      <c r="AP199" s="305">
        <f t="shared" si="27"/>
        <v>148</v>
      </c>
    </row>
    <row r="200" spans="1:43" ht="21" x14ac:dyDescent="0.35">
      <c r="A200" s="77">
        <v>4</v>
      </c>
      <c r="B200" s="5" t="s">
        <v>697</v>
      </c>
      <c r="C200" s="113" t="s">
        <v>256</v>
      </c>
      <c r="D200" s="47">
        <v>57</v>
      </c>
      <c r="E200" s="47"/>
      <c r="F200" s="53">
        <v>6</v>
      </c>
      <c r="G200" s="47"/>
      <c r="H200" s="47"/>
      <c r="I200" s="47"/>
      <c r="J200" s="48"/>
      <c r="K200" s="48">
        <v>8</v>
      </c>
      <c r="L200" s="54">
        <v>6</v>
      </c>
      <c r="M200" s="48">
        <v>179</v>
      </c>
      <c r="N200" s="48"/>
      <c r="O200" s="48"/>
      <c r="P200" s="47">
        <v>276</v>
      </c>
      <c r="Q200" s="47"/>
      <c r="R200" s="47">
        <v>82</v>
      </c>
      <c r="S200" s="47"/>
      <c r="T200" s="47"/>
      <c r="U200" s="47"/>
      <c r="V200" s="48">
        <v>2</v>
      </c>
      <c r="W200" s="48"/>
      <c r="X200" s="48">
        <v>19</v>
      </c>
      <c r="Y200" s="48"/>
      <c r="Z200" s="48"/>
      <c r="AA200" s="48"/>
      <c r="AB200" s="47"/>
      <c r="AC200" s="47"/>
      <c r="AD200" s="47"/>
      <c r="AE200" s="47"/>
      <c r="AF200" s="47"/>
      <c r="AG200" s="47">
        <v>1</v>
      </c>
      <c r="AH200" s="48"/>
      <c r="AI200" s="48"/>
      <c r="AJ200" s="48"/>
      <c r="AK200" s="48"/>
      <c r="AL200" s="48"/>
      <c r="AM200" s="48"/>
      <c r="AN200" s="50">
        <v>0</v>
      </c>
      <c r="AO200" s="51">
        <f t="shared" si="26"/>
        <v>636</v>
      </c>
      <c r="AP200" s="305">
        <f t="shared" si="27"/>
        <v>636</v>
      </c>
    </row>
    <row r="201" spans="1:43" ht="21" x14ac:dyDescent="0.35">
      <c r="A201" s="77">
        <v>5</v>
      </c>
      <c r="B201" s="5" t="s">
        <v>697</v>
      </c>
      <c r="C201" s="114" t="s">
        <v>257</v>
      </c>
      <c r="D201" s="47"/>
      <c r="E201" s="47"/>
      <c r="F201" s="53"/>
      <c r="G201" s="47"/>
      <c r="H201" s="47"/>
      <c r="I201" s="47"/>
      <c r="J201" s="48"/>
      <c r="K201" s="48">
        <v>1</v>
      </c>
      <c r="L201" s="54">
        <v>4</v>
      </c>
      <c r="M201" s="48">
        <v>26</v>
      </c>
      <c r="N201" s="48"/>
      <c r="O201" s="48"/>
      <c r="P201" s="47">
        <v>3</v>
      </c>
      <c r="Q201" s="47"/>
      <c r="R201" s="47"/>
      <c r="S201" s="47"/>
      <c r="T201" s="47"/>
      <c r="U201" s="47"/>
      <c r="V201" s="55"/>
      <c r="W201" s="48"/>
      <c r="X201" s="48"/>
      <c r="Y201" s="48"/>
      <c r="Z201" s="48"/>
      <c r="AA201" s="48"/>
      <c r="AB201" s="47"/>
      <c r="AC201" s="47"/>
      <c r="AD201" s="47"/>
      <c r="AE201" s="47"/>
      <c r="AF201" s="47"/>
      <c r="AG201" s="47"/>
      <c r="AH201" s="48"/>
      <c r="AI201" s="48"/>
      <c r="AJ201" s="48"/>
      <c r="AK201" s="48"/>
      <c r="AL201" s="48"/>
      <c r="AM201" s="48"/>
      <c r="AN201" s="50">
        <v>0</v>
      </c>
      <c r="AO201" s="51">
        <f t="shared" si="26"/>
        <v>34</v>
      </c>
      <c r="AP201" s="305">
        <f t="shared" si="27"/>
        <v>34</v>
      </c>
    </row>
    <row r="202" spans="1:43" ht="21" x14ac:dyDescent="0.35">
      <c r="A202" s="77">
        <v>6</v>
      </c>
      <c r="B202" s="5" t="s">
        <v>697</v>
      </c>
      <c r="C202" s="114" t="s">
        <v>258</v>
      </c>
      <c r="D202" s="71">
        <v>2</v>
      </c>
      <c r="E202" s="71"/>
      <c r="F202" s="71">
        <v>1</v>
      </c>
      <c r="G202" s="71"/>
      <c r="H202" s="71"/>
      <c r="I202" s="71">
        <v>1</v>
      </c>
      <c r="J202" s="72"/>
      <c r="K202" s="72">
        <v>1</v>
      </c>
      <c r="L202" s="72">
        <v>3</v>
      </c>
      <c r="M202" s="72">
        <v>51</v>
      </c>
      <c r="N202" s="72"/>
      <c r="O202" s="72"/>
      <c r="P202" s="71">
        <v>19</v>
      </c>
      <c r="Q202" s="71"/>
      <c r="R202" s="71">
        <v>5</v>
      </c>
      <c r="S202" s="71"/>
      <c r="T202" s="71"/>
      <c r="U202" s="71"/>
      <c r="V202" s="72"/>
      <c r="W202" s="72"/>
      <c r="X202" s="72">
        <v>1</v>
      </c>
      <c r="Y202" s="72"/>
      <c r="Z202" s="72">
        <v>1</v>
      </c>
      <c r="AA202" s="72"/>
      <c r="AB202" s="71"/>
      <c r="AC202" s="71"/>
      <c r="AD202" s="71"/>
      <c r="AE202" s="71">
        <v>1</v>
      </c>
      <c r="AF202" s="71"/>
      <c r="AG202" s="71"/>
      <c r="AH202" s="72">
        <v>2</v>
      </c>
      <c r="AI202" s="72"/>
      <c r="AJ202" s="72"/>
      <c r="AK202" s="72"/>
      <c r="AL202" s="72"/>
      <c r="AM202" s="72"/>
      <c r="AN202" s="73">
        <v>0</v>
      </c>
      <c r="AO202" s="51">
        <f t="shared" si="26"/>
        <v>88</v>
      </c>
      <c r="AP202" s="305">
        <f t="shared" si="27"/>
        <v>88</v>
      </c>
    </row>
    <row r="203" spans="1:43" ht="21" x14ac:dyDescent="0.35">
      <c r="A203" s="77">
        <v>7</v>
      </c>
      <c r="B203" s="5" t="s">
        <v>697</v>
      </c>
      <c r="C203" s="113" t="s">
        <v>259</v>
      </c>
      <c r="D203" s="57">
        <v>1</v>
      </c>
      <c r="E203" s="57"/>
      <c r="F203" s="57"/>
      <c r="G203" s="57"/>
      <c r="H203" s="57"/>
      <c r="I203" s="57">
        <v>1</v>
      </c>
      <c r="J203" s="55"/>
      <c r="K203" s="55">
        <v>1</v>
      </c>
      <c r="L203" s="55">
        <v>1</v>
      </c>
      <c r="M203" s="55">
        <v>9</v>
      </c>
      <c r="N203" s="55"/>
      <c r="O203" s="55"/>
      <c r="P203" s="57">
        <v>7</v>
      </c>
      <c r="Q203" s="57"/>
      <c r="R203" s="57">
        <v>2</v>
      </c>
      <c r="S203" s="57"/>
      <c r="T203" s="57"/>
      <c r="U203" s="57"/>
      <c r="V203" s="55"/>
      <c r="W203" s="55"/>
      <c r="X203" s="55">
        <v>1</v>
      </c>
      <c r="Y203" s="55"/>
      <c r="Z203" s="55"/>
      <c r="AA203" s="55"/>
      <c r="AB203" s="57"/>
      <c r="AC203" s="57"/>
      <c r="AD203" s="57"/>
      <c r="AE203" s="57"/>
      <c r="AF203" s="57"/>
      <c r="AG203" s="57"/>
      <c r="AH203" s="55"/>
      <c r="AI203" s="55"/>
      <c r="AJ203" s="55"/>
      <c r="AK203" s="55"/>
      <c r="AL203" s="55"/>
      <c r="AM203" s="55"/>
      <c r="AN203" s="60">
        <v>0</v>
      </c>
      <c r="AO203" s="61">
        <f t="shared" si="26"/>
        <v>23</v>
      </c>
      <c r="AP203" s="305">
        <f t="shared" si="27"/>
        <v>23</v>
      </c>
      <c r="AQ203" s="17"/>
    </row>
    <row r="204" spans="1:43" ht="21" x14ac:dyDescent="0.35">
      <c r="A204" s="77">
        <v>8</v>
      </c>
      <c r="B204" s="5" t="s">
        <v>697</v>
      </c>
      <c r="C204" s="113" t="s">
        <v>260</v>
      </c>
      <c r="D204" s="47">
        <v>17</v>
      </c>
      <c r="E204" s="47"/>
      <c r="F204" s="47"/>
      <c r="G204" s="47"/>
      <c r="H204" s="47"/>
      <c r="I204" s="47"/>
      <c r="J204" s="48"/>
      <c r="K204" s="48">
        <v>1</v>
      </c>
      <c r="L204" s="48"/>
      <c r="M204" s="48">
        <v>17</v>
      </c>
      <c r="N204" s="48">
        <v>1</v>
      </c>
      <c r="O204" s="48"/>
      <c r="P204" s="47">
        <v>67</v>
      </c>
      <c r="Q204" s="47"/>
      <c r="R204" s="47">
        <v>33</v>
      </c>
      <c r="S204" s="47"/>
      <c r="T204" s="47"/>
      <c r="U204" s="47"/>
      <c r="V204" s="48"/>
      <c r="W204" s="48"/>
      <c r="X204" s="48"/>
      <c r="Y204" s="48"/>
      <c r="Z204" s="48"/>
      <c r="AA204" s="48"/>
      <c r="AB204" s="47"/>
      <c r="AC204" s="47"/>
      <c r="AD204" s="47"/>
      <c r="AE204" s="47"/>
      <c r="AF204" s="47"/>
      <c r="AG204" s="47"/>
      <c r="AH204" s="48"/>
      <c r="AI204" s="48"/>
      <c r="AJ204" s="48"/>
      <c r="AK204" s="48"/>
      <c r="AL204" s="48"/>
      <c r="AM204" s="48"/>
      <c r="AN204" s="50">
        <v>0</v>
      </c>
      <c r="AO204" s="51">
        <f t="shared" si="26"/>
        <v>136</v>
      </c>
      <c r="AP204" s="305">
        <f t="shared" si="27"/>
        <v>136</v>
      </c>
    </row>
    <row r="205" spans="1:43" ht="21" x14ac:dyDescent="0.35">
      <c r="A205" s="93">
        <v>9</v>
      </c>
      <c r="B205" s="5" t="s">
        <v>697</v>
      </c>
      <c r="C205" s="79" t="s">
        <v>261</v>
      </c>
      <c r="D205" s="57">
        <v>9</v>
      </c>
      <c r="E205" s="57"/>
      <c r="F205" s="58"/>
      <c r="G205" s="57"/>
      <c r="H205" s="57">
        <v>1</v>
      </c>
      <c r="I205" s="57"/>
      <c r="J205" s="55"/>
      <c r="K205" s="55"/>
      <c r="L205" s="59">
        <v>2</v>
      </c>
      <c r="M205" s="55">
        <v>30</v>
      </c>
      <c r="N205" s="55">
        <v>1</v>
      </c>
      <c r="O205" s="55"/>
      <c r="P205" s="57">
        <v>48</v>
      </c>
      <c r="Q205" s="57"/>
      <c r="R205" s="57">
        <v>7</v>
      </c>
      <c r="S205" s="57"/>
      <c r="T205" s="57"/>
      <c r="U205" s="57"/>
      <c r="V205" s="55"/>
      <c r="W205" s="55"/>
      <c r="X205" s="55">
        <v>3</v>
      </c>
      <c r="Y205" s="55"/>
      <c r="Z205" s="55"/>
      <c r="AA205" s="55"/>
      <c r="AB205" s="57"/>
      <c r="AC205" s="57"/>
      <c r="AD205" s="57"/>
      <c r="AE205" s="57"/>
      <c r="AF205" s="57"/>
      <c r="AG205" s="57"/>
      <c r="AH205" s="55"/>
      <c r="AI205" s="55"/>
      <c r="AJ205" s="55"/>
      <c r="AK205" s="55"/>
      <c r="AL205" s="55"/>
      <c r="AM205" s="55"/>
      <c r="AN205" s="60">
        <v>0</v>
      </c>
      <c r="AO205" s="51">
        <f t="shared" si="26"/>
        <v>101</v>
      </c>
      <c r="AP205" s="305">
        <f t="shared" si="27"/>
        <v>101</v>
      </c>
    </row>
    <row r="206" spans="1:43" ht="21" x14ac:dyDescent="0.35">
      <c r="A206" s="75">
        <v>10</v>
      </c>
      <c r="B206" s="5" t="s">
        <v>697</v>
      </c>
      <c r="C206" s="114" t="s">
        <v>262</v>
      </c>
      <c r="D206" s="47">
        <v>7</v>
      </c>
      <c r="E206" s="47"/>
      <c r="F206" s="53">
        <v>3</v>
      </c>
      <c r="G206" s="47"/>
      <c r="H206" s="47"/>
      <c r="I206" s="47">
        <v>1</v>
      </c>
      <c r="J206" s="48"/>
      <c r="K206" s="48">
        <v>2</v>
      </c>
      <c r="L206" s="54">
        <v>2</v>
      </c>
      <c r="M206" s="48">
        <v>25</v>
      </c>
      <c r="N206" s="48">
        <v>1</v>
      </c>
      <c r="O206" s="48"/>
      <c r="P206" s="47">
        <v>51</v>
      </c>
      <c r="Q206" s="47"/>
      <c r="R206" s="47">
        <v>14</v>
      </c>
      <c r="S206" s="47"/>
      <c r="T206" s="47"/>
      <c r="U206" s="47"/>
      <c r="V206" s="48"/>
      <c r="W206" s="48"/>
      <c r="X206" s="48"/>
      <c r="Y206" s="48"/>
      <c r="Z206" s="48"/>
      <c r="AA206" s="48"/>
      <c r="AB206" s="47"/>
      <c r="AC206" s="47"/>
      <c r="AD206" s="47"/>
      <c r="AE206" s="47"/>
      <c r="AF206" s="47"/>
      <c r="AG206" s="47"/>
      <c r="AH206" s="48"/>
      <c r="AI206" s="48"/>
      <c r="AJ206" s="48"/>
      <c r="AK206" s="48"/>
      <c r="AL206" s="48"/>
      <c r="AM206" s="48"/>
      <c r="AN206" s="50">
        <v>0</v>
      </c>
      <c r="AO206" s="51">
        <f t="shared" si="26"/>
        <v>106</v>
      </c>
      <c r="AP206" s="305">
        <f t="shared" si="27"/>
        <v>106</v>
      </c>
    </row>
    <row r="207" spans="1:43" ht="21" x14ac:dyDescent="0.35">
      <c r="A207" s="98">
        <v>11</v>
      </c>
      <c r="B207" s="5" t="s">
        <v>697</v>
      </c>
      <c r="C207" s="113" t="s">
        <v>263</v>
      </c>
      <c r="D207" s="47"/>
      <c r="E207" s="47"/>
      <c r="F207" s="53"/>
      <c r="G207" s="47"/>
      <c r="H207" s="47"/>
      <c r="I207" s="47"/>
      <c r="J207" s="48"/>
      <c r="K207" s="48">
        <v>1</v>
      </c>
      <c r="L207" s="54"/>
      <c r="M207" s="48">
        <v>1</v>
      </c>
      <c r="N207" s="48"/>
      <c r="O207" s="48"/>
      <c r="P207" s="47"/>
      <c r="Q207" s="47"/>
      <c r="R207" s="47">
        <v>1</v>
      </c>
      <c r="S207" s="47"/>
      <c r="T207" s="47"/>
      <c r="U207" s="47"/>
      <c r="V207" s="55"/>
      <c r="W207" s="48"/>
      <c r="X207" s="48"/>
      <c r="Y207" s="48"/>
      <c r="Z207" s="48"/>
      <c r="AA207" s="48"/>
      <c r="AB207" s="47"/>
      <c r="AC207" s="47"/>
      <c r="AD207" s="47"/>
      <c r="AE207" s="47"/>
      <c r="AF207" s="47"/>
      <c r="AG207" s="47"/>
      <c r="AH207" s="48"/>
      <c r="AI207" s="48"/>
      <c r="AJ207" s="48"/>
      <c r="AK207" s="48"/>
      <c r="AL207" s="48"/>
      <c r="AM207" s="48"/>
      <c r="AN207" s="50">
        <v>0</v>
      </c>
      <c r="AO207" s="51">
        <v>4</v>
      </c>
      <c r="AP207" s="305">
        <f t="shared" si="27"/>
        <v>3</v>
      </c>
    </row>
    <row r="208" spans="1:43" ht="21" x14ac:dyDescent="0.35">
      <c r="A208" s="93">
        <v>1</v>
      </c>
      <c r="B208" s="313" t="s">
        <v>560</v>
      </c>
      <c r="C208" s="62" t="s">
        <v>264</v>
      </c>
      <c r="D208" s="46">
        <v>49</v>
      </c>
      <c r="E208" s="47"/>
      <c r="F208" s="47">
        <v>3</v>
      </c>
      <c r="G208" s="47"/>
      <c r="H208" s="47"/>
      <c r="I208" s="47">
        <v>1</v>
      </c>
      <c r="J208" s="48"/>
      <c r="K208" s="48">
        <v>3</v>
      </c>
      <c r="L208" s="48">
        <v>10</v>
      </c>
      <c r="M208" s="48">
        <v>29</v>
      </c>
      <c r="N208" s="48">
        <v>6</v>
      </c>
      <c r="O208" s="48"/>
      <c r="P208" s="47">
        <v>131</v>
      </c>
      <c r="Q208" s="47"/>
      <c r="R208" s="47">
        <v>137</v>
      </c>
      <c r="S208" s="47"/>
      <c r="T208" s="47"/>
      <c r="U208" s="47"/>
      <c r="V208" s="48"/>
      <c r="W208" s="48"/>
      <c r="X208" s="48"/>
      <c r="Y208" s="48"/>
      <c r="Z208" s="48"/>
      <c r="AA208" s="48"/>
      <c r="AB208" s="47"/>
      <c r="AC208" s="47"/>
      <c r="AD208" s="47"/>
      <c r="AE208" s="47"/>
      <c r="AF208" s="47">
        <v>1</v>
      </c>
      <c r="AG208" s="47">
        <v>1</v>
      </c>
      <c r="AH208" s="48">
        <v>1</v>
      </c>
      <c r="AI208" s="48"/>
      <c r="AJ208" s="48"/>
      <c r="AK208" s="48"/>
      <c r="AL208" s="48"/>
      <c r="AM208" s="48"/>
      <c r="AN208" s="50"/>
      <c r="AO208" s="51">
        <f t="shared" ref="AO208:AO212" si="28">SUM(D208:AN208)</f>
        <v>372</v>
      </c>
      <c r="AP208" s="305">
        <f>D208+E208+F208+G208+H208+I208+J208+K208+L208+M208+N208+O208+P208+Q208+R208+S208+T208+U208+V208+W208+X208+Y208+Z208+AA208+AB208+AC208+AD208+AE208+AF208+AG208+AH208+AI208+AJ208+AK208+AL208+AM208+AN208</f>
        <v>372</v>
      </c>
    </row>
    <row r="209" spans="1:43" ht="21" x14ac:dyDescent="0.35">
      <c r="A209" s="93">
        <v>2</v>
      </c>
      <c r="B209" s="313" t="s">
        <v>560</v>
      </c>
      <c r="C209" s="62" t="s">
        <v>265</v>
      </c>
      <c r="D209" s="52">
        <v>52</v>
      </c>
      <c r="E209" s="57"/>
      <c r="F209" s="57">
        <v>6</v>
      </c>
      <c r="G209" s="71"/>
      <c r="H209" s="71"/>
      <c r="I209" s="71">
        <v>3</v>
      </c>
      <c r="J209" s="55"/>
      <c r="K209" s="55">
        <v>3</v>
      </c>
      <c r="L209" s="55">
        <v>7</v>
      </c>
      <c r="M209" s="55">
        <v>41</v>
      </c>
      <c r="N209" s="55">
        <v>3</v>
      </c>
      <c r="O209" s="55"/>
      <c r="P209" s="57">
        <v>184</v>
      </c>
      <c r="Q209" s="57"/>
      <c r="R209" s="57">
        <v>154</v>
      </c>
      <c r="S209" s="57"/>
      <c r="T209" s="57"/>
      <c r="U209" s="57"/>
      <c r="V209" s="55"/>
      <c r="W209" s="55"/>
      <c r="X209" s="55">
        <v>1</v>
      </c>
      <c r="Y209" s="55"/>
      <c r="Z209" s="55"/>
      <c r="AA209" s="55"/>
      <c r="AB209" s="57"/>
      <c r="AC209" s="57">
        <v>1</v>
      </c>
      <c r="AD209" s="57"/>
      <c r="AE209" s="57"/>
      <c r="AF209" s="57"/>
      <c r="AG209" s="57"/>
      <c r="AH209" s="55"/>
      <c r="AI209" s="55"/>
      <c r="AJ209" s="55"/>
      <c r="AK209" s="55"/>
      <c r="AL209" s="55"/>
      <c r="AM209" s="55"/>
      <c r="AN209" s="60"/>
      <c r="AO209" s="51">
        <f t="shared" si="28"/>
        <v>455</v>
      </c>
      <c r="AP209" s="305">
        <f t="shared" ref="AP209:AP223" si="29">D209+E209+F209+G209+H209+I209+J209+K209+L209+M209+N209+O209+P209+Q209+R209+S209+T209+U209+V209+W209+X209+Y209+Z209+AA209+AB209+AC209+AD209+AE209+AF209+AG209+AH209+AI209+AJ209+AK209+AL209+AM209+AN209</f>
        <v>455</v>
      </c>
    </row>
    <row r="210" spans="1:43" ht="21" x14ac:dyDescent="0.35">
      <c r="A210" s="93">
        <v>3</v>
      </c>
      <c r="B210" s="313" t="s">
        <v>560</v>
      </c>
      <c r="C210" s="62" t="s">
        <v>266</v>
      </c>
      <c r="D210" s="46">
        <v>44</v>
      </c>
      <c r="E210" s="47"/>
      <c r="F210" s="47"/>
      <c r="G210" s="47"/>
      <c r="H210" s="47"/>
      <c r="I210" s="47">
        <v>1</v>
      </c>
      <c r="J210" s="48"/>
      <c r="K210" s="48">
        <v>1</v>
      </c>
      <c r="L210" s="48">
        <v>21</v>
      </c>
      <c r="M210" s="48">
        <v>48</v>
      </c>
      <c r="N210" s="48">
        <v>1</v>
      </c>
      <c r="O210" s="48"/>
      <c r="P210" s="47">
        <v>295</v>
      </c>
      <c r="Q210" s="47"/>
      <c r="R210" s="47">
        <v>293</v>
      </c>
      <c r="S210" s="47"/>
      <c r="T210" s="47"/>
      <c r="U210" s="47"/>
      <c r="V210" s="48"/>
      <c r="W210" s="48"/>
      <c r="X210" s="48"/>
      <c r="Y210" s="48"/>
      <c r="Z210" s="48"/>
      <c r="AA210" s="48"/>
      <c r="AB210" s="47"/>
      <c r="AC210" s="47"/>
      <c r="AD210" s="47"/>
      <c r="AE210" s="47">
        <v>2</v>
      </c>
      <c r="AF210" s="47"/>
      <c r="AG210" s="47"/>
      <c r="AH210" s="48">
        <v>2</v>
      </c>
      <c r="AI210" s="48"/>
      <c r="AJ210" s="48"/>
      <c r="AK210" s="48"/>
      <c r="AL210" s="48"/>
      <c r="AM210" s="48"/>
      <c r="AN210" s="50"/>
      <c r="AO210" s="51">
        <f t="shared" si="28"/>
        <v>708</v>
      </c>
      <c r="AP210" s="305">
        <f t="shared" si="29"/>
        <v>708</v>
      </c>
    </row>
    <row r="211" spans="1:43" ht="21" x14ac:dyDescent="0.35">
      <c r="A211" s="93">
        <v>4</v>
      </c>
      <c r="B211" s="313" t="s">
        <v>560</v>
      </c>
      <c r="C211" s="62" t="s">
        <v>267</v>
      </c>
      <c r="D211" s="52">
        <v>101</v>
      </c>
      <c r="E211" s="47"/>
      <c r="F211" s="47">
        <v>23</v>
      </c>
      <c r="G211" s="47"/>
      <c r="H211" s="47"/>
      <c r="I211" s="47">
        <v>8</v>
      </c>
      <c r="J211" s="48"/>
      <c r="K211" s="48">
        <v>9</v>
      </c>
      <c r="L211" s="48">
        <v>38</v>
      </c>
      <c r="M211" s="48">
        <v>238</v>
      </c>
      <c r="N211" s="48">
        <v>6</v>
      </c>
      <c r="O211" s="48">
        <v>1</v>
      </c>
      <c r="P211" s="47">
        <v>535</v>
      </c>
      <c r="Q211" s="47"/>
      <c r="R211" s="47">
        <v>202</v>
      </c>
      <c r="S211" s="47"/>
      <c r="T211" s="47"/>
      <c r="U211" s="47"/>
      <c r="V211" s="55">
        <v>1</v>
      </c>
      <c r="W211" s="48"/>
      <c r="X211" s="48">
        <v>9</v>
      </c>
      <c r="Y211" s="48">
        <v>2</v>
      </c>
      <c r="Z211" s="48">
        <v>1</v>
      </c>
      <c r="AA211" s="48">
        <v>1</v>
      </c>
      <c r="AB211" s="47">
        <v>2</v>
      </c>
      <c r="AC211" s="47"/>
      <c r="AD211" s="47">
        <v>1</v>
      </c>
      <c r="AE211" s="47">
        <v>9</v>
      </c>
      <c r="AF211" s="47">
        <v>3</v>
      </c>
      <c r="AG211" s="47">
        <v>1</v>
      </c>
      <c r="AH211" s="48">
        <v>1</v>
      </c>
      <c r="AI211" s="48"/>
      <c r="AJ211" s="48"/>
      <c r="AK211" s="48"/>
      <c r="AL211" s="48"/>
      <c r="AM211" s="48">
        <v>1</v>
      </c>
      <c r="AN211" s="50"/>
      <c r="AO211" s="51">
        <f t="shared" si="28"/>
        <v>1193</v>
      </c>
      <c r="AP211" s="305">
        <f t="shared" si="29"/>
        <v>1193</v>
      </c>
    </row>
    <row r="212" spans="1:43" ht="21" x14ac:dyDescent="0.35">
      <c r="A212" s="93">
        <v>5</v>
      </c>
      <c r="B212" s="313" t="s">
        <v>560</v>
      </c>
      <c r="C212" s="62" t="s">
        <v>268</v>
      </c>
      <c r="D212" s="46">
        <v>24</v>
      </c>
      <c r="E212" s="47"/>
      <c r="F212" s="47">
        <v>1</v>
      </c>
      <c r="G212" s="47"/>
      <c r="H212" s="47"/>
      <c r="I212" s="47">
        <v>1</v>
      </c>
      <c r="J212" s="48"/>
      <c r="K212" s="48"/>
      <c r="L212" s="48">
        <v>6</v>
      </c>
      <c r="M212" s="48">
        <v>46</v>
      </c>
      <c r="N212" s="48"/>
      <c r="O212" s="48"/>
      <c r="P212" s="47">
        <v>225</v>
      </c>
      <c r="Q212" s="47"/>
      <c r="R212" s="47">
        <v>145</v>
      </c>
      <c r="S212" s="47"/>
      <c r="T212" s="47"/>
      <c r="U212" s="47"/>
      <c r="V212" s="48"/>
      <c r="W212" s="48"/>
      <c r="X212" s="48"/>
      <c r="Y212" s="48"/>
      <c r="Z212" s="48"/>
      <c r="AA212" s="48"/>
      <c r="AB212" s="47"/>
      <c r="AC212" s="47"/>
      <c r="AD212" s="47"/>
      <c r="AE212" s="47"/>
      <c r="AF212" s="47"/>
      <c r="AG212" s="47"/>
      <c r="AH212" s="48">
        <v>1</v>
      </c>
      <c r="AI212" s="48"/>
      <c r="AJ212" s="48"/>
      <c r="AK212" s="48"/>
      <c r="AL212" s="48"/>
      <c r="AM212" s="48"/>
      <c r="AN212" s="50">
        <v>0</v>
      </c>
      <c r="AO212" s="51">
        <f t="shared" si="28"/>
        <v>449</v>
      </c>
      <c r="AP212" s="305">
        <f t="shared" si="29"/>
        <v>449</v>
      </c>
    </row>
    <row r="213" spans="1:43" ht="21" x14ac:dyDescent="0.35">
      <c r="A213" s="93">
        <v>6</v>
      </c>
      <c r="B213" s="313" t="s">
        <v>560</v>
      </c>
      <c r="C213" s="62" t="s">
        <v>269</v>
      </c>
      <c r="D213" s="52">
        <v>107</v>
      </c>
      <c r="E213" s="57">
        <v>1</v>
      </c>
      <c r="F213" s="58">
        <v>15</v>
      </c>
      <c r="G213" s="57"/>
      <c r="H213" s="57"/>
      <c r="I213" s="57">
        <v>3</v>
      </c>
      <c r="J213" s="55"/>
      <c r="K213" s="55">
        <v>5</v>
      </c>
      <c r="L213" s="59">
        <v>14</v>
      </c>
      <c r="M213" s="55">
        <v>274</v>
      </c>
      <c r="N213" s="55">
        <v>2</v>
      </c>
      <c r="O213" s="55"/>
      <c r="P213" s="57">
        <v>387</v>
      </c>
      <c r="Q213" s="57"/>
      <c r="R213" s="57">
        <v>330</v>
      </c>
      <c r="S213" s="57"/>
      <c r="T213" s="57"/>
      <c r="U213" s="57"/>
      <c r="V213" s="55">
        <v>1</v>
      </c>
      <c r="W213" s="55"/>
      <c r="X213" s="55">
        <v>2</v>
      </c>
      <c r="Y213" s="55">
        <v>2</v>
      </c>
      <c r="Z213" s="55"/>
      <c r="AA213" s="55">
        <v>1</v>
      </c>
      <c r="AB213" s="57"/>
      <c r="AC213" s="57"/>
      <c r="AD213" s="57"/>
      <c r="AE213" s="57">
        <v>1</v>
      </c>
      <c r="AF213" s="57"/>
      <c r="AG213" s="57"/>
      <c r="AH213" s="55">
        <v>3</v>
      </c>
      <c r="AI213" s="55"/>
      <c r="AJ213" s="55"/>
      <c r="AK213" s="55"/>
      <c r="AL213" s="55"/>
      <c r="AM213" s="55"/>
      <c r="AN213" s="60"/>
      <c r="AO213" s="51" t="s">
        <v>50</v>
      </c>
      <c r="AP213" s="305">
        <f t="shared" si="29"/>
        <v>1148</v>
      </c>
    </row>
    <row r="214" spans="1:43" ht="21" x14ac:dyDescent="0.35">
      <c r="A214" s="93">
        <v>7</v>
      </c>
      <c r="B214" s="313" t="s">
        <v>560</v>
      </c>
      <c r="C214" s="62" t="s">
        <v>270</v>
      </c>
      <c r="D214" s="46">
        <v>64</v>
      </c>
      <c r="E214" s="47"/>
      <c r="F214" s="47">
        <v>18</v>
      </c>
      <c r="G214" s="47">
        <v>1</v>
      </c>
      <c r="H214" s="47"/>
      <c r="I214" s="47">
        <v>10</v>
      </c>
      <c r="J214" s="48"/>
      <c r="K214" s="48">
        <v>6</v>
      </c>
      <c r="L214" s="48">
        <v>20</v>
      </c>
      <c r="M214" s="48">
        <v>225</v>
      </c>
      <c r="N214" s="48">
        <v>6</v>
      </c>
      <c r="O214" s="48"/>
      <c r="P214" s="47">
        <v>459</v>
      </c>
      <c r="Q214" s="47"/>
      <c r="R214" s="47">
        <v>160</v>
      </c>
      <c r="S214" s="47"/>
      <c r="T214" s="47"/>
      <c r="U214" s="47"/>
      <c r="V214" s="48"/>
      <c r="W214" s="48"/>
      <c r="X214" s="48">
        <v>7</v>
      </c>
      <c r="Y214" s="48"/>
      <c r="Z214" s="48"/>
      <c r="AA214" s="48"/>
      <c r="AB214" s="47">
        <v>1</v>
      </c>
      <c r="AC214" s="47">
        <v>2</v>
      </c>
      <c r="AD214" s="47">
        <v>2</v>
      </c>
      <c r="AE214" s="47">
        <v>4</v>
      </c>
      <c r="AF214" s="47"/>
      <c r="AG214" s="47">
        <v>1</v>
      </c>
      <c r="AH214" s="48">
        <v>1</v>
      </c>
      <c r="AI214" s="48"/>
      <c r="AJ214" s="48">
        <v>1</v>
      </c>
      <c r="AK214" s="48"/>
      <c r="AL214" s="48"/>
      <c r="AM214" s="48"/>
      <c r="AN214" s="50">
        <v>2</v>
      </c>
      <c r="AO214" s="51" t="s">
        <v>73</v>
      </c>
      <c r="AP214" s="305">
        <f t="shared" si="29"/>
        <v>990</v>
      </c>
      <c r="AQ214">
        <f>SUM(D214:AN214)</f>
        <v>990</v>
      </c>
    </row>
    <row r="215" spans="1:43" ht="21" x14ac:dyDescent="0.35">
      <c r="A215" s="93">
        <v>8</v>
      </c>
      <c r="B215" s="313" t="s">
        <v>560</v>
      </c>
      <c r="C215" s="62" t="s">
        <v>271</v>
      </c>
      <c r="D215" s="46">
        <v>113</v>
      </c>
      <c r="E215" s="47"/>
      <c r="F215" s="47">
        <v>41</v>
      </c>
      <c r="G215" s="47"/>
      <c r="H215" s="47"/>
      <c r="I215" s="47">
        <v>10</v>
      </c>
      <c r="J215" s="48"/>
      <c r="K215" s="48">
        <v>12</v>
      </c>
      <c r="L215" s="48">
        <v>44</v>
      </c>
      <c r="M215" s="48">
        <v>337</v>
      </c>
      <c r="N215" s="48">
        <v>11</v>
      </c>
      <c r="O215" s="48"/>
      <c r="P215" s="47">
        <v>675</v>
      </c>
      <c r="Q215" s="47">
        <v>1</v>
      </c>
      <c r="R215" s="47">
        <v>350</v>
      </c>
      <c r="S215" s="47"/>
      <c r="T215" s="47"/>
      <c r="U215" s="47"/>
      <c r="V215" s="48"/>
      <c r="W215" s="48"/>
      <c r="X215" s="48">
        <v>23</v>
      </c>
      <c r="Y215" s="48"/>
      <c r="Z215" s="48"/>
      <c r="AA215" s="48">
        <v>1</v>
      </c>
      <c r="AB215" s="47"/>
      <c r="AC215" s="47"/>
      <c r="AD215" s="47">
        <v>2</v>
      </c>
      <c r="AE215" s="47">
        <v>5</v>
      </c>
      <c r="AF215" s="47">
        <v>5</v>
      </c>
      <c r="AG215" s="47"/>
      <c r="AH215" s="48">
        <v>4</v>
      </c>
      <c r="AI215" s="48"/>
      <c r="AJ215" s="48"/>
      <c r="AK215" s="48"/>
      <c r="AL215" s="48"/>
      <c r="AM215" s="48"/>
      <c r="AN215" s="50">
        <v>1</v>
      </c>
      <c r="AO215" s="51" t="s">
        <v>73</v>
      </c>
      <c r="AP215" s="305">
        <f t="shared" si="29"/>
        <v>1635</v>
      </c>
    </row>
    <row r="216" spans="1:43" ht="21" x14ac:dyDescent="0.35">
      <c r="A216" s="93">
        <v>9</v>
      </c>
      <c r="B216" s="313" t="s">
        <v>560</v>
      </c>
      <c r="C216" s="62" t="s">
        <v>272</v>
      </c>
      <c r="D216" s="46">
        <v>66</v>
      </c>
      <c r="E216" s="47"/>
      <c r="F216" s="47">
        <v>23</v>
      </c>
      <c r="G216" s="47"/>
      <c r="H216" s="47">
        <v>2</v>
      </c>
      <c r="I216" s="47">
        <v>2</v>
      </c>
      <c r="J216" s="48"/>
      <c r="K216" s="48">
        <v>12</v>
      </c>
      <c r="L216" s="48">
        <v>31</v>
      </c>
      <c r="M216" s="48">
        <v>207</v>
      </c>
      <c r="N216" s="48">
        <v>4</v>
      </c>
      <c r="O216" s="48"/>
      <c r="P216" s="47">
        <v>350</v>
      </c>
      <c r="Q216" s="47"/>
      <c r="R216" s="47">
        <v>124</v>
      </c>
      <c r="S216" s="47"/>
      <c r="T216" s="47"/>
      <c r="U216" s="47"/>
      <c r="V216" s="48"/>
      <c r="W216" s="48"/>
      <c r="X216" s="48">
        <v>10</v>
      </c>
      <c r="Y216" s="48"/>
      <c r="Z216" s="48"/>
      <c r="AA216" s="48"/>
      <c r="AB216" s="47"/>
      <c r="AC216" s="47">
        <v>2</v>
      </c>
      <c r="AD216" s="47"/>
      <c r="AE216" s="47">
        <v>6</v>
      </c>
      <c r="AF216" s="47">
        <v>1</v>
      </c>
      <c r="AG216" s="47"/>
      <c r="AH216" s="48">
        <v>5</v>
      </c>
      <c r="AI216" s="48"/>
      <c r="AJ216" s="48"/>
      <c r="AK216" s="48"/>
      <c r="AL216" s="48"/>
      <c r="AM216" s="48"/>
      <c r="AN216" s="50">
        <v>2</v>
      </c>
      <c r="AO216" s="51" t="s">
        <v>50</v>
      </c>
      <c r="AP216" s="305">
        <f t="shared" si="29"/>
        <v>847</v>
      </c>
    </row>
    <row r="217" spans="1:43" ht="21" x14ac:dyDescent="0.35">
      <c r="A217" s="93">
        <v>10</v>
      </c>
      <c r="B217" s="313" t="s">
        <v>560</v>
      </c>
      <c r="C217" s="62" t="s">
        <v>273</v>
      </c>
      <c r="D217" s="46">
        <v>37</v>
      </c>
      <c r="E217" s="47"/>
      <c r="F217" s="47"/>
      <c r="G217" s="47"/>
      <c r="H217" s="47"/>
      <c r="I217" s="47"/>
      <c r="J217" s="48"/>
      <c r="K217" s="48">
        <v>1</v>
      </c>
      <c r="L217" s="48">
        <v>4</v>
      </c>
      <c r="M217" s="48">
        <v>16</v>
      </c>
      <c r="N217" s="48"/>
      <c r="O217" s="48"/>
      <c r="P217" s="47">
        <v>73</v>
      </c>
      <c r="Q217" s="47"/>
      <c r="R217" s="47">
        <v>80</v>
      </c>
      <c r="S217" s="47"/>
      <c r="T217" s="47"/>
      <c r="U217" s="47"/>
      <c r="V217" s="48"/>
      <c r="W217" s="48"/>
      <c r="X217" s="48">
        <v>2</v>
      </c>
      <c r="Y217" s="48"/>
      <c r="Z217" s="48"/>
      <c r="AA217" s="48"/>
      <c r="AB217" s="47"/>
      <c r="AC217" s="47"/>
      <c r="AD217" s="47"/>
      <c r="AE217" s="47"/>
      <c r="AF217" s="47"/>
      <c r="AG217" s="47"/>
      <c r="AH217" s="48">
        <v>1</v>
      </c>
      <c r="AI217" s="48"/>
      <c r="AJ217" s="48"/>
      <c r="AK217" s="48"/>
      <c r="AL217" s="48"/>
      <c r="AM217" s="48"/>
      <c r="AN217" s="50"/>
      <c r="AO217" s="51">
        <f>SUM(D217:AN217)</f>
        <v>214</v>
      </c>
      <c r="AP217" s="305">
        <f t="shared" si="29"/>
        <v>214</v>
      </c>
    </row>
    <row r="218" spans="1:43" ht="21" x14ac:dyDescent="0.35">
      <c r="A218" s="93">
        <v>11</v>
      </c>
      <c r="B218" s="313" t="s">
        <v>560</v>
      </c>
      <c r="C218" s="62" t="s">
        <v>274</v>
      </c>
      <c r="D218" s="46">
        <v>82</v>
      </c>
      <c r="E218" s="47"/>
      <c r="F218" s="47">
        <v>15</v>
      </c>
      <c r="G218" s="47">
        <v>1</v>
      </c>
      <c r="H218" s="47"/>
      <c r="I218" s="47">
        <v>9</v>
      </c>
      <c r="J218" s="48"/>
      <c r="K218" s="48">
        <v>5</v>
      </c>
      <c r="L218" s="48">
        <v>42</v>
      </c>
      <c r="M218" s="48">
        <v>265</v>
      </c>
      <c r="N218" s="48">
        <v>2</v>
      </c>
      <c r="O218" s="48"/>
      <c r="P218" s="47">
        <v>434</v>
      </c>
      <c r="Q218" s="47"/>
      <c r="R218" s="47">
        <v>149</v>
      </c>
      <c r="S218" s="47"/>
      <c r="T218" s="47">
        <v>2</v>
      </c>
      <c r="U218" s="47"/>
      <c r="V218" s="48">
        <v>1</v>
      </c>
      <c r="W218" s="48"/>
      <c r="X218" s="48">
        <v>7</v>
      </c>
      <c r="Y218" s="48"/>
      <c r="Z218" s="48"/>
      <c r="AA218" s="48"/>
      <c r="AB218" s="47"/>
      <c r="AC218" s="47">
        <v>1</v>
      </c>
      <c r="AD218" s="47">
        <v>3</v>
      </c>
      <c r="AE218" s="47">
        <v>2</v>
      </c>
      <c r="AF218" s="47">
        <v>2</v>
      </c>
      <c r="AG218" s="47"/>
      <c r="AH218" s="48">
        <v>6</v>
      </c>
      <c r="AI218" s="48"/>
      <c r="AJ218" s="48">
        <v>1</v>
      </c>
      <c r="AK218" s="48"/>
      <c r="AL218" s="48"/>
      <c r="AM218" s="48"/>
      <c r="AN218" s="50">
        <v>1</v>
      </c>
      <c r="AO218" s="51">
        <f>SUM(D218:AN218)</f>
        <v>1030</v>
      </c>
      <c r="AP218" s="305">
        <f t="shared" si="29"/>
        <v>1030</v>
      </c>
    </row>
    <row r="219" spans="1:43" ht="21" x14ac:dyDescent="0.35">
      <c r="A219" s="93">
        <v>12</v>
      </c>
      <c r="B219" s="313" t="s">
        <v>560</v>
      </c>
      <c r="C219" s="62" t="s">
        <v>275</v>
      </c>
      <c r="D219" s="46">
        <v>81</v>
      </c>
      <c r="E219" s="47">
        <v>7</v>
      </c>
      <c r="F219" s="47">
        <v>41</v>
      </c>
      <c r="G219" s="47">
        <v>4</v>
      </c>
      <c r="H219" s="47">
        <v>1</v>
      </c>
      <c r="I219" s="47">
        <v>26</v>
      </c>
      <c r="J219" s="48">
        <v>1</v>
      </c>
      <c r="K219" s="48">
        <v>46</v>
      </c>
      <c r="L219" s="48">
        <v>41</v>
      </c>
      <c r="M219" s="48">
        <v>346</v>
      </c>
      <c r="N219" s="48">
        <v>15</v>
      </c>
      <c r="O219" s="48"/>
      <c r="P219" s="47">
        <v>509</v>
      </c>
      <c r="Q219" s="47">
        <v>2</v>
      </c>
      <c r="R219" s="47">
        <v>266</v>
      </c>
      <c r="S219" s="47">
        <v>4</v>
      </c>
      <c r="T219" s="47">
        <v>5</v>
      </c>
      <c r="U219" s="47">
        <v>2</v>
      </c>
      <c r="V219" s="48">
        <v>6</v>
      </c>
      <c r="W219" s="48"/>
      <c r="X219" s="48">
        <v>32</v>
      </c>
      <c r="Y219" s="48">
        <v>5</v>
      </c>
      <c r="Z219" s="48">
        <v>1</v>
      </c>
      <c r="AA219" s="48">
        <v>9</v>
      </c>
      <c r="AB219" s="47"/>
      <c r="AC219" s="47">
        <v>4</v>
      </c>
      <c r="AD219" s="47">
        <v>1</v>
      </c>
      <c r="AE219" s="47">
        <v>13</v>
      </c>
      <c r="AF219" s="47">
        <v>5</v>
      </c>
      <c r="AG219" s="47">
        <v>8</v>
      </c>
      <c r="AH219" s="48">
        <v>4</v>
      </c>
      <c r="AI219" s="48">
        <v>1</v>
      </c>
      <c r="AJ219" s="48">
        <v>3</v>
      </c>
      <c r="AK219" s="48">
        <v>2</v>
      </c>
      <c r="AL219" s="48"/>
      <c r="AM219" s="48"/>
      <c r="AN219" s="122"/>
      <c r="AO219" s="51">
        <f>SUM(D219:AN219)</f>
        <v>1491</v>
      </c>
      <c r="AP219" s="305">
        <f t="shared" si="29"/>
        <v>1491</v>
      </c>
    </row>
    <row r="220" spans="1:43" ht="21" x14ac:dyDescent="0.35">
      <c r="A220" s="93">
        <v>13</v>
      </c>
      <c r="B220" s="313" t="s">
        <v>560</v>
      </c>
      <c r="C220" s="45" t="s">
        <v>276</v>
      </c>
      <c r="D220" s="131">
        <v>22</v>
      </c>
      <c r="E220" s="71"/>
      <c r="F220" s="71">
        <v>11</v>
      </c>
      <c r="G220" s="71"/>
      <c r="H220" s="71"/>
      <c r="I220" s="71"/>
      <c r="J220" s="72"/>
      <c r="K220" s="72">
        <v>6</v>
      </c>
      <c r="L220" s="72">
        <v>8</v>
      </c>
      <c r="M220" s="72">
        <v>56</v>
      </c>
      <c r="N220" s="72">
        <v>2</v>
      </c>
      <c r="O220" s="72"/>
      <c r="P220" s="71">
        <v>87</v>
      </c>
      <c r="Q220" s="71"/>
      <c r="R220" s="71">
        <v>57</v>
      </c>
      <c r="S220" s="71"/>
      <c r="T220" s="71"/>
      <c r="U220" s="71"/>
      <c r="V220" s="72"/>
      <c r="W220" s="72"/>
      <c r="X220" s="72">
        <v>8</v>
      </c>
      <c r="Y220" s="72"/>
      <c r="Z220" s="72"/>
      <c r="AA220" s="72"/>
      <c r="AB220" s="71"/>
      <c r="AC220" s="71">
        <v>1</v>
      </c>
      <c r="AD220" s="71"/>
      <c r="AE220" s="71">
        <v>2</v>
      </c>
      <c r="AF220" s="71">
        <v>1</v>
      </c>
      <c r="AG220" s="71">
        <v>1</v>
      </c>
      <c r="AH220" s="72">
        <v>4</v>
      </c>
      <c r="AI220" s="72"/>
      <c r="AJ220" s="72"/>
      <c r="AK220" s="72"/>
      <c r="AL220" s="72"/>
      <c r="AM220" s="72"/>
      <c r="AN220" s="50">
        <v>1</v>
      </c>
      <c r="AO220" s="51" t="s">
        <v>50</v>
      </c>
      <c r="AP220" s="305">
        <f t="shared" si="29"/>
        <v>267</v>
      </c>
    </row>
    <row r="221" spans="1:43" ht="21" x14ac:dyDescent="0.35">
      <c r="A221" s="93">
        <v>14</v>
      </c>
      <c r="B221" s="313" t="s">
        <v>560</v>
      </c>
      <c r="C221" s="62" t="s">
        <v>277</v>
      </c>
      <c r="D221" s="46">
        <v>69</v>
      </c>
      <c r="E221" s="47">
        <v>1</v>
      </c>
      <c r="F221" s="47">
        <v>21</v>
      </c>
      <c r="G221" s="47"/>
      <c r="H221" s="47"/>
      <c r="I221" s="47">
        <v>8</v>
      </c>
      <c r="J221" s="48"/>
      <c r="K221" s="48">
        <v>9</v>
      </c>
      <c r="L221" s="48">
        <v>21</v>
      </c>
      <c r="M221" s="48">
        <v>212</v>
      </c>
      <c r="N221" s="48">
        <v>6</v>
      </c>
      <c r="O221" s="48"/>
      <c r="P221" s="47">
        <v>402</v>
      </c>
      <c r="Q221" s="47"/>
      <c r="R221" s="47">
        <v>190</v>
      </c>
      <c r="S221" s="47">
        <v>1</v>
      </c>
      <c r="T221" s="47">
        <v>2</v>
      </c>
      <c r="U221" s="47"/>
      <c r="V221" s="48">
        <v>1</v>
      </c>
      <c r="W221" s="48"/>
      <c r="X221" s="48">
        <v>7</v>
      </c>
      <c r="Y221" s="48">
        <v>1</v>
      </c>
      <c r="Z221" s="48"/>
      <c r="AA221" s="48"/>
      <c r="AB221" s="47"/>
      <c r="AC221" s="47">
        <v>2</v>
      </c>
      <c r="AD221" s="47">
        <v>1</v>
      </c>
      <c r="AE221" s="47">
        <v>4</v>
      </c>
      <c r="AF221" s="47"/>
      <c r="AG221" s="47">
        <v>1</v>
      </c>
      <c r="AH221" s="48">
        <v>5</v>
      </c>
      <c r="AI221" s="48"/>
      <c r="AJ221" s="48"/>
      <c r="AK221" s="48"/>
      <c r="AL221" s="48"/>
      <c r="AM221" s="48"/>
      <c r="AN221" s="50">
        <v>3</v>
      </c>
      <c r="AO221" s="51">
        <f>SUM(D221:AN221)</f>
        <v>967</v>
      </c>
      <c r="AP221" s="305">
        <f t="shared" si="29"/>
        <v>967</v>
      </c>
    </row>
    <row r="222" spans="1:43" ht="21" x14ac:dyDescent="0.35">
      <c r="A222" s="93">
        <v>15</v>
      </c>
      <c r="B222" s="313" t="s">
        <v>560</v>
      </c>
      <c r="C222" s="62" t="s">
        <v>278</v>
      </c>
      <c r="D222" s="52">
        <v>38</v>
      </c>
      <c r="E222" s="57"/>
      <c r="F222" s="58">
        <v>10</v>
      </c>
      <c r="G222" s="57"/>
      <c r="H222" s="57"/>
      <c r="I222" s="57">
        <v>9</v>
      </c>
      <c r="J222" s="55"/>
      <c r="K222" s="55">
        <v>8</v>
      </c>
      <c r="L222" s="59">
        <v>22</v>
      </c>
      <c r="M222" s="55">
        <v>178</v>
      </c>
      <c r="N222" s="55">
        <v>2</v>
      </c>
      <c r="O222" s="55"/>
      <c r="P222" s="57">
        <v>297</v>
      </c>
      <c r="Q222" s="57">
        <v>3</v>
      </c>
      <c r="R222" s="57">
        <v>142</v>
      </c>
      <c r="S222" s="57"/>
      <c r="T222" s="57"/>
      <c r="U222" s="57">
        <v>4</v>
      </c>
      <c r="V222" s="55"/>
      <c r="W222" s="55"/>
      <c r="X222" s="55">
        <v>15</v>
      </c>
      <c r="Y222" s="55">
        <v>5</v>
      </c>
      <c r="Z222" s="55"/>
      <c r="AA222" s="55"/>
      <c r="AB222" s="57"/>
      <c r="AC222" s="57"/>
      <c r="AD222" s="57">
        <v>1</v>
      </c>
      <c r="AE222" s="57">
        <v>6</v>
      </c>
      <c r="AF222" s="57"/>
      <c r="AG222" s="57">
        <v>2</v>
      </c>
      <c r="AH222" s="55">
        <v>2</v>
      </c>
      <c r="AI222" s="55"/>
      <c r="AJ222" s="55"/>
      <c r="AK222" s="55"/>
      <c r="AL222" s="55"/>
      <c r="AM222" s="55"/>
      <c r="AN222" s="60"/>
      <c r="AO222" s="61" t="s">
        <v>134</v>
      </c>
      <c r="AP222" s="305">
        <f t="shared" si="29"/>
        <v>744</v>
      </c>
      <c r="AQ222" s="17"/>
    </row>
    <row r="223" spans="1:43" ht="21" x14ac:dyDescent="0.35">
      <c r="A223" s="93">
        <v>16</v>
      </c>
      <c r="B223" s="313" t="s">
        <v>560</v>
      </c>
      <c r="C223" s="62" t="s">
        <v>279</v>
      </c>
      <c r="D223" s="46">
        <v>61</v>
      </c>
      <c r="E223" s="47"/>
      <c r="F223" s="47">
        <v>6</v>
      </c>
      <c r="G223" s="47"/>
      <c r="H223" s="47"/>
      <c r="I223" s="47">
        <v>2</v>
      </c>
      <c r="J223" s="48"/>
      <c r="K223" s="48">
        <v>2</v>
      </c>
      <c r="L223" s="48">
        <v>13</v>
      </c>
      <c r="M223" s="48">
        <v>141</v>
      </c>
      <c r="N223" s="48"/>
      <c r="O223" s="48"/>
      <c r="P223" s="47">
        <v>192</v>
      </c>
      <c r="Q223" s="47"/>
      <c r="R223" s="47">
        <v>203</v>
      </c>
      <c r="S223" s="47"/>
      <c r="T223" s="47">
        <v>1</v>
      </c>
      <c r="U223" s="47"/>
      <c r="V223" s="48"/>
      <c r="W223" s="48"/>
      <c r="X223" s="48">
        <v>3</v>
      </c>
      <c r="Y223" s="48">
        <v>3</v>
      </c>
      <c r="Z223" s="48"/>
      <c r="AA223" s="48"/>
      <c r="AB223" s="47"/>
      <c r="AC223" s="47"/>
      <c r="AD223" s="47"/>
      <c r="AE223" s="47">
        <v>4</v>
      </c>
      <c r="AF223" s="47"/>
      <c r="AG223" s="47"/>
      <c r="AH223" s="48">
        <v>4</v>
      </c>
      <c r="AI223" s="48"/>
      <c r="AJ223" s="48">
        <v>1</v>
      </c>
      <c r="AK223" s="48"/>
      <c r="AL223" s="48"/>
      <c r="AM223" s="48"/>
      <c r="AN223" s="50"/>
      <c r="AO223" s="51">
        <f>SUM(D223:AN223)</f>
        <v>636</v>
      </c>
      <c r="AP223" s="305">
        <f t="shared" si="29"/>
        <v>636</v>
      </c>
    </row>
    <row r="224" spans="1:43" ht="21" x14ac:dyDescent="0.35">
      <c r="A224" s="93">
        <v>1</v>
      </c>
      <c r="B224" s="314" t="s">
        <v>644</v>
      </c>
      <c r="C224" s="87" t="s">
        <v>280</v>
      </c>
      <c r="D224" s="47">
        <v>9</v>
      </c>
      <c r="E224" s="47"/>
      <c r="F224" s="47"/>
      <c r="G224" s="47"/>
      <c r="H224" s="47"/>
      <c r="I224" s="47"/>
      <c r="J224" s="48"/>
      <c r="K224" s="48"/>
      <c r="L224" s="48">
        <v>4</v>
      </c>
      <c r="M224" s="48">
        <v>6</v>
      </c>
      <c r="N224" s="48">
        <v>1</v>
      </c>
      <c r="O224" s="48"/>
      <c r="P224" s="47">
        <v>58</v>
      </c>
      <c r="Q224" s="47"/>
      <c r="R224" s="47">
        <v>44</v>
      </c>
      <c r="S224" s="47"/>
      <c r="T224" s="47"/>
      <c r="U224" s="47"/>
      <c r="V224" s="48"/>
      <c r="W224" s="48"/>
      <c r="X224" s="48"/>
      <c r="Y224" s="48"/>
      <c r="Z224" s="48"/>
      <c r="AA224" s="48"/>
      <c r="AB224" s="47"/>
      <c r="AC224" s="47">
        <v>1</v>
      </c>
      <c r="AD224" s="47"/>
      <c r="AE224" s="47"/>
      <c r="AF224" s="47"/>
      <c r="AG224" s="47"/>
      <c r="AH224" s="48"/>
      <c r="AI224" s="48"/>
      <c r="AJ224" s="48"/>
      <c r="AK224" s="48"/>
      <c r="AL224" s="48"/>
      <c r="AM224" s="48"/>
      <c r="AN224" s="50">
        <v>0</v>
      </c>
      <c r="AO224" s="307">
        <f>D224+E224+F224+G224+H224+I224+J224+K224+L224+M224+N224+O224+P224+Q224+R224+S224+T224+U224+V224+W224+X224+Y224+Z224+AA224+AB224+AC224+AD224+AE224+AF224+AG224+AH224+AI224+AJ224+AK224+AL224+AM224+AN224</f>
        <v>123</v>
      </c>
    </row>
    <row r="225" spans="1:43" ht="21" x14ac:dyDescent="0.35">
      <c r="A225" s="93">
        <v>2</v>
      </c>
      <c r="B225" s="314" t="s">
        <v>644</v>
      </c>
      <c r="C225" s="87" t="s">
        <v>281</v>
      </c>
      <c r="D225" s="47">
        <v>77</v>
      </c>
      <c r="E225" s="47"/>
      <c r="F225" s="47">
        <v>11</v>
      </c>
      <c r="G225" s="47"/>
      <c r="H225" s="47"/>
      <c r="I225" s="47">
        <v>17</v>
      </c>
      <c r="J225" s="48"/>
      <c r="K225" s="48">
        <v>7</v>
      </c>
      <c r="L225" s="48">
        <v>25</v>
      </c>
      <c r="M225" s="48">
        <v>276</v>
      </c>
      <c r="N225" s="48">
        <v>3</v>
      </c>
      <c r="O225" s="48">
        <v>5</v>
      </c>
      <c r="P225" s="47">
        <v>599</v>
      </c>
      <c r="Q225" s="47"/>
      <c r="R225" s="47">
        <v>337</v>
      </c>
      <c r="S225" s="47"/>
      <c r="T225" s="47"/>
      <c r="U225" s="47"/>
      <c r="V225" s="48"/>
      <c r="W225" s="48"/>
      <c r="X225" s="48">
        <v>9</v>
      </c>
      <c r="Y225" s="48">
        <v>3</v>
      </c>
      <c r="Z225" s="48"/>
      <c r="AA225" s="48">
        <v>1</v>
      </c>
      <c r="AB225" s="47"/>
      <c r="AC225" s="47"/>
      <c r="AD225" s="47">
        <v>2</v>
      </c>
      <c r="AE225" s="47">
        <v>13</v>
      </c>
      <c r="AF225" s="47"/>
      <c r="AG225" s="47">
        <v>2</v>
      </c>
      <c r="AH225" s="48">
        <v>7</v>
      </c>
      <c r="AI225" s="48"/>
      <c r="AJ225" s="48"/>
      <c r="AK225" s="48"/>
      <c r="AL225" s="48"/>
      <c r="AM225" s="48"/>
      <c r="AN225" s="50">
        <v>3</v>
      </c>
      <c r="AO225" s="307">
        <f t="shared" ref="AO225:AO229" si="30">D225+E225+F225+G225+H225+I225+J225+K225+L225+M225+N225+O225+P225+Q225+R225+S225+T225+U225+V225+W225+X225+Y225+Z225+AA225+AB225+AC225+AD225+AE225+AF225+AG225+AH225+AI225+AJ225+AK225+AL225+AM225+AN225</f>
        <v>1397</v>
      </c>
    </row>
    <row r="226" spans="1:43" ht="21" x14ac:dyDescent="0.35">
      <c r="A226" s="93">
        <v>3</v>
      </c>
      <c r="B226" s="314" t="s">
        <v>644</v>
      </c>
      <c r="C226" s="87" t="s">
        <v>282</v>
      </c>
      <c r="D226" s="47">
        <v>77</v>
      </c>
      <c r="E226" s="47">
        <v>2</v>
      </c>
      <c r="F226" s="47">
        <v>10</v>
      </c>
      <c r="G226" s="47"/>
      <c r="H226" s="47"/>
      <c r="I226" s="47">
        <v>6</v>
      </c>
      <c r="J226" s="48"/>
      <c r="K226" s="48">
        <v>2</v>
      </c>
      <c r="L226" s="48">
        <v>16</v>
      </c>
      <c r="M226" s="48">
        <v>140</v>
      </c>
      <c r="N226" s="48">
        <v>1</v>
      </c>
      <c r="O226" s="48"/>
      <c r="P226" s="47">
        <v>229</v>
      </c>
      <c r="Q226" s="47"/>
      <c r="R226" s="47">
        <v>230</v>
      </c>
      <c r="S226" s="47"/>
      <c r="T226" s="47"/>
      <c r="U226" s="47"/>
      <c r="V226" s="48"/>
      <c r="W226" s="48"/>
      <c r="X226" s="48">
        <v>3</v>
      </c>
      <c r="Y226" s="48">
        <v>2</v>
      </c>
      <c r="Z226" s="48"/>
      <c r="AA226" s="48">
        <v>1</v>
      </c>
      <c r="AB226" s="47"/>
      <c r="AC226" s="47"/>
      <c r="AD226" s="47"/>
      <c r="AE226" s="47">
        <v>6</v>
      </c>
      <c r="AF226" s="47">
        <v>1</v>
      </c>
      <c r="AG226" s="47">
        <v>1</v>
      </c>
      <c r="AH226" s="48"/>
      <c r="AI226" s="48"/>
      <c r="AJ226" s="48"/>
      <c r="AK226" s="48"/>
      <c r="AL226" s="48"/>
      <c r="AM226" s="48"/>
      <c r="AN226" s="50">
        <v>0</v>
      </c>
      <c r="AO226" s="307">
        <f t="shared" si="30"/>
        <v>727</v>
      </c>
    </row>
    <row r="227" spans="1:43" ht="21" x14ac:dyDescent="0.35">
      <c r="A227" s="93">
        <v>4</v>
      </c>
      <c r="B227" s="314" t="s">
        <v>644</v>
      </c>
      <c r="C227" s="87" t="s">
        <v>283</v>
      </c>
      <c r="D227" s="57">
        <v>119</v>
      </c>
      <c r="E227" s="57"/>
      <c r="F227" s="58">
        <v>11</v>
      </c>
      <c r="G227" s="57"/>
      <c r="H227" s="57"/>
      <c r="I227" s="57">
        <v>7</v>
      </c>
      <c r="J227" s="55"/>
      <c r="K227" s="55">
        <v>11</v>
      </c>
      <c r="L227" s="59">
        <v>46</v>
      </c>
      <c r="M227" s="55">
        <v>303</v>
      </c>
      <c r="N227" s="55">
        <v>2</v>
      </c>
      <c r="O227" s="55"/>
      <c r="P227" s="57">
        <v>484</v>
      </c>
      <c r="Q227" s="57"/>
      <c r="R227" s="57">
        <v>482</v>
      </c>
      <c r="S227" s="57"/>
      <c r="T227" s="57"/>
      <c r="U227" s="57">
        <v>1</v>
      </c>
      <c r="V227" s="55">
        <v>2</v>
      </c>
      <c r="W227" s="55"/>
      <c r="X227" s="55">
        <v>11</v>
      </c>
      <c r="Y227" s="55">
        <v>16</v>
      </c>
      <c r="Z227" s="55"/>
      <c r="AA227" s="55">
        <v>1</v>
      </c>
      <c r="AB227" s="57">
        <v>1</v>
      </c>
      <c r="AC227" s="57"/>
      <c r="AD227" s="57">
        <v>2</v>
      </c>
      <c r="AE227" s="57">
        <v>11</v>
      </c>
      <c r="AF227" s="57">
        <v>1</v>
      </c>
      <c r="AG227" s="57">
        <v>1</v>
      </c>
      <c r="AH227" s="55">
        <v>4</v>
      </c>
      <c r="AI227" s="55"/>
      <c r="AJ227" s="55"/>
      <c r="AK227" s="55"/>
      <c r="AL227" s="55"/>
      <c r="AM227" s="55"/>
      <c r="AN227" s="60">
        <v>0</v>
      </c>
      <c r="AO227" s="307">
        <f t="shared" si="30"/>
        <v>1516</v>
      </c>
    </row>
    <row r="228" spans="1:43" ht="21" x14ac:dyDescent="0.35">
      <c r="A228" s="93">
        <v>5</v>
      </c>
      <c r="B228" s="314" t="s">
        <v>644</v>
      </c>
      <c r="C228" s="87" t="s">
        <v>284</v>
      </c>
      <c r="D228" s="57">
        <v>73</v>
      </c>
      <c r="E228" s="57">
        <v>2</v>
      </c>
      <c r="F228" s="57">
        <v>20</v>
      </c>
      <c r="G228" s="57"/>
      <c r="H228" s="57"/>
      <c r="I228" s="57">
        <v>7</v>
      </c>
      <c r="J228" s="55"/>
      <c r="K228" s="55">
        <v>10</v>
      </c>
      <c r="L228" s="55">
        <v>9</v>
      </c>
      <c r="M228" s="55">
        <v>305</v>
      </c>
      <c r="N228" s="55">
        <v>4</v>
      </c>
      <c r="O228" s="55"/>
      <c r="P228" s="57">
        <v>520</v>
      </c>
      <c r="Q228" s="57"/>
      <c r="R228" s="57">
        <v>104</v>
      </c>
      <c r="S228" s="57"/>
      <c r="T228" s="57"/>
      <c r="U228" s="57"/>
      <c r="V228" s="55"/>
      <c r="W228" s="55"/>
      <c r="X228" s="55">
        <v>9</v>
      </c>
      <c r="Y228" s="55"/>
      <c r="Z228" s="55"/>
      <c r="AA228" s="55">
        <v>1</v>
      </c>
      <c r="AB228" s="57"/>
      <c r="AC228" s="57"/>
      <c r="AD228" s="57"/>
      <c r="AE228" s="57">
        <v>1</v>
      </c>
      <c r="AF228" s="57">
        <v>4</v>
      </c>
      <c r="AG228" s="57"/>
      <c r="AH228" s="55">
        <v>6</v>
      </c>
      <c r="AI228" s="55"/>
      <c r="AJ228" s="55"/>
      <c r="AK228" s="55"/>
      <c r="AL228" s="55"/>
      <c r="AM228" s="55"/>
      <c r="AN228" s="60"/>
      <c r="AO228" s="307">
        <f t="shared" si="30"/>
        <v>1075</v>
      </c>
    </row>
    <row r="229" spans="1:43" ht="21" x14ac:dyDescent="0.35">
      <c r="A229" s="93">
        <v>6</v>
      </c>
      <c r="B229" s="314" t="s">
        <v>644</v>
      </c>
      <c r="C229" s="70" t="s">
        <v>285</v>
      </c>
      <c r="D229" s="57">
        <v>3</v>
      </c>
      <c r="E229" s="57"/>
      <c r="F229" s="58"/>
      <c r="G229" s="57"/>
      <c r="H229" s="57"/>
      <c r="I229" s="57"/>
      <c r="J229" s="55"/>
      <c r="K229" s="55"/>
      <c r="L229" s="59"/>
      <c r="M229" s="55">
        <v>6</v>
      </c>
      <c r="N229" s="55"/>
      <c r="O229" s="55"/>
      <c r="P229" s="57">
        <v>17</v>
      </c>
      <c r="Q229" s="57"/>
      <c r="R229" s="57">
        <v>13</v>
      </c>
      <c r="S229" s="57"/>
      <c r="T229" s="57"/>
      <c r="U229" s="57">
        <v>1</v>
      </c>
      <c r="V229" s="55"/>
      <c r="W229" s="55"/>
      <c r="X229" s="55"/>
      <c r="Y229" s="55">
        <v>1</v>
      </c>
      <c r="Z229" s="55"/>
      <c r="AA229" s="55"/>
      <c r="AB229" s="57"/>
      <c r="AC229" s="57"/>
      <c r="AD229" s="57"/>
      <c r="AE229" s="57"/>
      <c r="AF229" s="57"/>
      <c r="AG229" s="57"/>
      <c r="AH229" s="55">
        <v>1</v>
      </c>
      <c r="AI229" s="55"/>
      <c r="AJ229" s="55"/>
      <c r="AK229" s="55"/>
      <c r="AL229" s="55"/>
      <c r="AM229" s="55"/>
      <c r="AN229" s="60"/>
      <c r="AO229" s="307">
        <f t="shared" si="30"/>
        <v>42</v>
      </c>
    </row>
    <row r="230" spans="1:43" ht="21" x14ac:dyDescent="0.35">
      <c r="A230" s="93">
        <v>1</v>
      </c>
      <c r="B230" s="314" t="s">
        <v>643</v>
      </c>
      <c r="C230" s="87" t="s">
        <v>286</v>
      </c>
      <c r="D230" s="47">
        <v>1</v>
      </c>
      <c r="E230" s="47"/>
      <c r="F230" s="47"/>
      <c r="G230" s="47"/>
      <c r="H230" s="47"/>
      <c r="I230" s="47"/>
      <c r="J230" s="48"/>
      <c r="K230" s="48"/>
      <c r="L230" s="48">
        <v>4</v>
      </c>
      <c r="M230" s="48">
        <v>35</v>
      </c>
      <c r="N230" s="48"/>
      <c r="O230" s="48"/>
      <c r="P230" s="47">
        <v>53</v>
      </c>
      <c r="Q230" s="47"/>
      <c r="R230" s="47">
        <v>59</v>
      </c>
      <c r="S230" s="47"/>
      <c r="T230" s="47"/>
      <c r="U230" s="47"/>
      <c r="V230" s="48"/>
      <c r="W230" s="48"/>
      <c r="X230" s="48"/>
      <c r="Y230" s="48"/>
      <c r="Z230" s="48"/>
      <c r="AA230" s="48"/>
      <c r="AB230" s="47"/>
      <c r="AC230" s="47"/>
      <c r="AD230" s="47"/>
      <c r="AE230" s="47"/>
      <c r="AF230" s="47">
        <v>2</v>
      </c>
      <c r="AG230" s="47"/>
      <c r="AH230" s="48"/>
      <c r="AI230" s="48"/>
      <c r="AJ230" s="48"/>
      <c r="AK230" s="48"/>
      <c r="AL230" s="48"/>
      <c r="AM230" s="48"/>
      <c r="AN230" s="50">
        <v>0</v>
      </c>
      <c r="AO230" s="307">
        <f>D230+E230+F230+G230+H230+I230+J230+K230+L230+M230+N230+O230+P230+Q230+R230+S230+T230+U230+V230+W230+X230+Y230+Z230+AA230+AB230+AC230+AD230+AE230+AF230+AG230+AH230+AI230+AJ230+AK230+AL230+AM230+AN230</f>
        <v>154</v>
      </c>
    </row>
    <row r="231" spans="1:43" ht="21" x14ac:dyDescent="0.35">
      <c r="A231" s="93">
        <v>2</v>
      </c>
      <c r="B231" s="314" t="s">
        <v>643</v>
      </c>
      <c r="C231" s="87" t="s">
        <v>287</v>
      </c>
      <c r="D231" s="47">
        <v>13</v>
      </c>
      <c r="E231" s="47"/>
      <c r="F231" s="47"/>
      <c r="G231" s="47"/>
      <c r="H231" s="47"/>
      <c r="I231" s="47">
        <v>2</v>
      </c>
      <c r="J231" s="48"/>
      <c r="K231" s="48">
        <v>1</v>
      </c>
      <c r="L231" s="48">
        <v>53</v>
      </c>
      <c r="M231" s="48">
        <v>46</v>
      </c>
      <c r="N231" s="48"/>
      <c r="O231" s="48"/>
      <c r="P231" s="47">
        <v>86</v>
      </c>
      <c r="Q231" s="47"/>
      <c r="R231" s="47">
        <v>78</v>
      </c>
      <c r="S231" s="47"/>
      <c r="T231" s="47"/>
      <c r="U231" s="47"/>
      <c r="V231" s="48"/>
      <c r="W231" s="48"/>
      <c r="X231" s="48"/>
      <c r="Y231" s="48">
        <v>3</v>
      </c>
      <c r="Z231" s="48">
        <v>1</v>
      </c>
      <c r="AA231" s="48"/>
      <c r="AB231" s="47"/>
      <c r="AC231" s="47">
        <v>1</v>
      </c>
      <c r="AD231" s="47"/>
      <c r="AE231" s="47"/>
      <c r="AF231" s="47"/>
      <c r="AG231" s="47"/>
      <c r="AH231" s="48">
        <v>2</v>
      </c>
      <c r="AI231" s="48"/>
      <c r="AJ231" s="48"/>
      <c r="AK231" s="48"/>
      <c r="AL231" s="48"/>
      <c r="AM231" s="48"/>
      <c r="AN231" s="50">
        <v>0</v>
      </c>
      <c r="AO231" s="307">
        <f t="shared" ref="AO231:AO239" si="31">D231+E231+F231+G231+H231+I231+J231+K231+L231+M231+N231+O231+P231+Q231+R231+S231+T231+U231+V231+W231+X231+Y231+Z231+AA231+AB231+AC231+AD231+AE231+AF231+AG231+AH231+AI231+AJ231+AK231+AL231+AM231+AN231</f>
        <v>286</v>
      </c>
    </row>
    <row r="232" spans="1:43" ht="21" x14ac:dyDescent="0.35">
      <c r="A232" s="93">
        <v>3</v>
      </c>
      <c r="B232" s="314" t="s">
        <v>643</v>
      </c>
      <c r="C232" s="87" t="s">
        <v>288</v>
      </c>
      <c r="D232" s="47">
        <v>117</v>
      </c>
      <c r="E232" s="47"/>
      <c r="F232" s="47">
        <v>10</v>
      </c>
      <c r="G232" s="47"/>
      <c r="H232" s="47"/>
      <c r="I232" s="47">
        <v>3</v>
      </c>
      <c r="J232" s="48"/>
      <c r="K232" s="48">
        <v>3</v>
      </c>
      <c r="L232" s="48"/>
      <c r="M232" s="48">
        <v>238</v>
      </c>
      <c r="N232" s="48">
        <v>2</v>
      </c>
      <c r="O232" s="48"/>
      <c r="P232" s="47">
        <v>230</v>
      </c>
      <c r="Q232" s="47"/>
      <c r="R232" s="47">
        <v>376</v>
      </c>
      <c r="S232" s="47"/>
      <c r="T232" s="47"/>
      <c r="U232" s="47"/>
      <c r="V232" s="48"/>
      <c r="W232" s="48"/>
      <c r="X232" s="48">
        <v>8</v>
      </c>
      <c r="Y232" s="48"/>
      <c r="Z232" s="48"/>
      <c r="AA232" s="48"/>
      <c r="AB232" s="47"/>
      <c r="AC232" s="47"/>
      <c r="AD232" s="47"/>
      <c r="AE232" s="47"/>
      <c r="AF232" s="47"/>
      <c r="AG232" s="47">
        <v>1</v>
      </c>
      <c r="AH232" s="48">
        <v>1</v>
      </c>
      <c r="AI232" s="48"/>
      <c r="AJ232" s="48"/>
      <c r="AK232" s="48"/>
      <c r="AL232" s="48"/>
      <c r="AM232" s="48"/>
      <c r="AN232" s="50">
        <v>0</v>
      </c>
      <c r="AO232" s="307">
        <f t="shared" si="31"/>
        <v>989</v>
      </c>
    </row>
    <row r="233" spans="1:43" ht="21" x14ac:dyDescent="0.35">
      <c r="A233" s="93">
        <v>4</v>
      </c>
      <c r="B233" s="314" t="s">
        <v>643</v>
      </c>
      <c r="C233" s="87" t="s">
        <v>289</v>
      </c>
      <c r="D233" s="53">
        <v>28</v>
      </c>
      <c r="E233" s="53"/>
      <c r="F233" s="53">
        <v>4</v>
      </c>
      <c r="G233" s="53"/>
      <c r="H233" s="53"/>
      <c r="I233" s="53"/>
      <c r="J233" s="54"/>
      <c r="K233" s="54"/>
      <c r="L233" s="54">
        <v>11</v>
      </c>
      <c r="M233" s="54">
        <v>86</v>
      </c>
      <c r="N233" s="54"/>
      <c r="O233" s="54"/>
      <c r="P233" s="53">
        <v>64</v>
      </c>
      <c r="Q233" s="53"/>
      <c r="R233" s="53">
        <v>37</v>
      </c>
      <c r="S233" s="53"/>
      <c r="T233" s="53"/>
      <c r="U233" s="53"/>
      <c r="V233" s="54"/>
      <c r="W233" s="54"/>
      <c r="X233" s="54">
        <v>3</v>
      </c>
      <c r="Y233" s="54"/>
      <c r="Z233" s="54"/>
      <c r="AA233" s="54"/>
      <c r="AB233" s="53"/>
      <c r="AC233" s="53"/>
      <c r="AD233" s="53"/>
      <c r="AE233" s="53"/>
      <c r="AF233" s="53"/>
      <c r="AG233" s="53"/>
      <c r="AH233" s="54"/>
      <c r="AI233" s="54"/>
      <c r="AJ233" s="54"/>
      <c r="AK233" s="54"/>
      <c r="AL233" s="54"/>
      <c r="AM233" s="54"/>
      <c r="AN233" s="74">
        <v>0</v>
      </c>
      <c r="AO233" s="307">
        <f t="shared" si="31"/>
        <v>233</v>
      </c>
    </row>
    <row r="234" spans="1:43" ht="21" x14ac:dyDescent="0.35">
      <c r="A234" s="93">
        <v>5</v>
      </c>
      <c r="B234" s="314" t="s">
        <v>643</v>
      </c>
      <c r="C234" s="87" t="s">
        <v>290</v>
      </c>
      <c r="D234" s="47">
        <v>36</v>
      </c>
      <c r="E234" s="47"/>
      <c r="F234" s="47">
        <v>4</v>
      </c>
      <c r="G234" s="47"/>
      <c r="H234" s="47"/>
      <c r="I234" s="47">
        <v>3</v>
      </c>
      <c r="J234" s="48"/>
      <c r="K234" s="48">
        <v>1</v>
      </c>
      <c r="L234" s="48">
        <v>3</v>
      </c>
      <c r="M234" s="48">
        <v>73</v>
      </c>
      <c r="N234" s="48"/>
      <c r="O234" s="48"/>
      <c r="P234" s="47">
        <v>57</v>
      </c>
      <c r="Q234" s="47"/>
      <c r="R234" s="47">
        <v>35</v>
      </c>
      <c r="S234" s="47"/>
      <c r="T234" s="47"/>
      <c r="U234" s="47"/>
      <c r="V234" s="48"/>
      <c r="W234" s="48"/>
      <c r="X234" s="48"/>
      <c r="Y234" s="48">
        <v>1</v>
      </c>
      <c r="Z234" s="48"/>
      <c r="AA234" s="48"/>
      <c r="AB234" s="47"/>
      <c r="AC234" s="47"/>
      <c r="AD234" s="47"/>
      <c r="AE234" s="47"/>
      <c r="AF234" s="47"/>
      <c r="AG234" s="47"/>
      <c r="AH234" s="48"/>
      <c r="AI234" s="48"/>
      <c r="AJ234" s="48">
        <v>1</v>
      </c>
      <c r="AK234" s="48"/>
      <c r="AL234" s="48"/>
      <c r="AM234" s="48"/>
      <c r="AN234" s="50">
        <v>0</v>
      </c>
      <c r="AO234" s="307">
        <f t="shared" si="31"/>
        <v>214</v>
      </c>
    </row>
    <row r="235" spans="1:43" ht="21" x14ac:dyDescent="0.35">
      <c r="A235" s="93">
        <v>6</v>
      </c>
      <c r="B235" s="314" t="s">
        <v>643</v>
      </c>
      <c r="C235" s="87" t="s">
        <v>291</v>
      </c>
      <c r="D235" s="57">
        <v>3</v>
      </c>
      <c r="E235" s="57"/>
      <c r="F235" s="58"/>
      <c r="G235" s="57"/>
      <c r="H235" s="57">
        <v>1</v>
      </c>
      <c r="I235" s="57"/>
      <c r="J235" s="55"/>
      <c r="K235" s="55"/>
      <c r="L235" s="59">
        <v>4</v>
      </c>
      <c r="M235" s="55">
        <v>4</v>
      </c>
      <c r="N235" s="55"/>
      <c r="O235" s="55"/>
      <c r="P235" s="57">
        <v>8</v>
      </c>
      <c r="Q235" s="57"/>
      <c r="R235" s="57">
        <v>10</v>
      </c>
      <c r="S235" s="57"/>
      <c r="T235" s="57"/>
      <c r="U235" s="57"/>
      <c r="V235" s="55"/>
      <c r="W235" s="55"/>
      <c r="X235" s="55">
        <v>1</v>
      </c>
      <c r="Y235" s="55"/>
      <c r="Z235" s="55"/>
      <c r="AA235" s="55"/>
      <c r="AB235" s="57"/>
      <c r="AC235" s="57"/>
      <c r="AD235" s="57"/>
      <c r="AE235" s="57"/>
      <c r="AF235" s="57">
        <v>1</v>
      </c>
      <c r="AG235" s="57"/>
      <c r="AH235" s="55"/>
      <c r="AI235" s="55"/>
      <c r="AJ235" s="55"/>
      <c r="AK235" s="55"/>
      <c r="AL235" s="55"/>
      <c r="AM235" s="55"/>
      <c r="AN235" s="60">
        <v>0</v>
      </c>
      <c r="AO235" s="307">
        <f t="shared" si="31"/>
        <v>32</v>
      </c>
    </row>
    <row r="236" spans="1:43" ht="21" x14ac:dyDescent="0.35">
      <c r="A236" s="93">
        <v>7</v>
      </c>
      <c r="B236" s="314" t="s">
        <v>643</v>
      </c>
      <c r="C236" s="132" t="s">
        <v>292</v>
      </c>
      <c r="D236" s="57"/>
      <c r="E236" s="57"/>
      <c r="F236" s="57"/>
      <c r="G236" s="57"/>
      <c r="H236" s="57"/>
      <c r="I236" s="57"/>
      <c r="J236" s="55"/>
      <c r="K236" s="55"/>
      <c r="L236" s="55"/>
      <c r="M236" s="55"/>
      <c r="N236" s="55"/>
      <c r="O236" s="55"/>
      <c r="P236" s="47">
        <v>5</v>
      </c>
      <c r="Q236" s="47"/>
      <c r="R236" s="47">
        <v>17</v>
      </c>
      <c r="S236" s="47"/>
      <c r="T236" s="47"/>
      <c r="U236" s="47"/>
      <c r="V236" s="48"/>
      <c r="W236" s="48"/>
      <c r="X236" s="48"/>
      <c r="Y236" s="48"/>
      <c r="Z236" s="48"/>
      <c r="AA236" s="48"/>
      <c r="AB236" s="47"/>
      <c r="AC236" s="47"/>
      <c r="AD236" s="47"/>
      <c r="AE236" s="47">
        <v>2</v>
      </c>
      <c r="AF236" s="47">
        <v>1</v>
      </c>
      <c r="AG236" s="47"/>
      <c r="AH236" s="48"/>
      <c r="AI236" s="48"/>
      <c r="AJ236" s="48"/>
      <c r="AK236" s="48"/>
      <c r="AL236" s="48"/>
      <c r="AM236" s="48"/>
      <c r="AN236" s="50">
        <v>0</v>
      </c>
      <c r="AO236" s="307">
        <f t="shared" si="31"/>
        <v>25</v>
      </c>
    </row>
    <row r="237" spans="1:43" ht="21" x14ac:dyDescent="0.35">
      <c r="A237" s="93">
        <v>8</v>
      </c>
      <c r="B237" s="314" t="s">
        <v>643</v>
      </c>
      <c r="C237" s="87" t="s">
        <v>293</v>
      </c>
      <c r="D237" s="47">
        <v>25</v>
      </c>
      <c r="E237" s="47"/>
      <c r="F237" s="47"/>
      <c r="G237" s="133"/>
      <c r="H237" s="133">
        <v>2</v>
      </c>
      <c r="I237" s="133">
        <v>1</v>
      </c>
      <c r="J237" s="48"/>
      <c r="K237" s="48"/>
      <c r="L237" s="48">
        <v>33</v>
      </c>
      <c r="M237" s="134">
        <v>103</v>
      </c>
      <c r="N237" s="134"/>
      <c r="O237" s="134"/>
      <c r="P237" s="47">
        <v>86</v>
      </c>
      <c r="Q237" s="47"/>
      <c r="R237" s="47">
        <v>111</v>
      </c>
      <c r="S237" s="133"/>
      <c r="T237" s="133"/>
      <c r="U237" s="133"/>
      <c r="V237" s="48">
        <v>1</v>
      </c>
      <c r="W237" s="48"/>
      <c r="X237" s="48">
        <v>14</v>
      </c>
      <c r="Y237" s="134"/>
      <c r="Z237" s="134"/>
      <c r="AA237" s="134"/>
      <c r="AB237" s="47"/>
      <c r="AC237" s="47"/>
      <c r="AD237" s="47">
        <v>6</v>
      </c>
      <c r="AE237" s="133"/>
      <c r="AF237" s="133">
        <v>2</v>
      </c>
      <c r="AG237" s="133"/>
      <c r="AH237" s="48">
        <v>1</v>
      </c>
      <c r="AI237" s="48"/>
      <c r="AJ237" s="48"/>
      <c r="AK237" s="134"/>
      <c r="AL237" s="134"/>
      <c r="AM237" s="134"/>
      <c r="AN237" s="135">
        <v>0</v>
      </c>
      <c r="AO237" s="307">
        <f t="shared" si="31"/>
        <v>385</v>
      </c>
    </row>
    <row r="238" spans="1:43" ht="21" x14ac:dyDescent="0.35">
      <c r="A238" s="93">
        <v>9</v>
      </c>
      <c r="B238" s="314" t="s">
        <v>643</v>
      </c>
      <c r="C238" s="70" t="s">
        <v>294</v>
      </c>
      <c r="D238" s="57">
        <v>1</v>
      </c>
      <c r="E238" s="57"/>
      <c r="F238" s="58"/>
      <c r="G238" s="57"/>
      <c r="H238" s="57"/>
      <c r="I238" s="57">
        <v>3</v>
      </c>
      <c r="J238" s="55"/>
      <c r="K238" s="55"/>
      <c r="L238" s="59">
        <v>8</v>
      </c>
      <c r="M238" s="55">
        <v>9</v>
      </c>
      <c r="N238" s="55"/>
      <c r="O238" s="55"/>
      <c r="P238" s="57">
        <v>10</v>
      </c>
      <c r="Q238" s="57"/>
      <c r="R238" s="57">
        <v>32</v>
      </c>
      <c r="S238" s="57"/>
      <c r="T238" s="57"/>
      <c r="U238" s="57"/>
      <c r="V238" s="55"/>
      <c r="W238" s="55"/>
      <c r="X238" s="55"/>
      <c r="Y238" s="55"/>
      <c r="Z238" s="55"/>
      <c r="AA238" s="55">
        <v>1</v>
      </c>
      <c r="AB238" s="57"/>
      <c r="AC238" s="57"/>
      <c r="AD238" s="57"/>
      <c r="AE238" s="57"/>
      <c r="AF238" s="57"/>
      <c r="AG238" s="57"/>
      <c r="AH238" s="55">
        <v>6</v>
      </c>
      <c r="AI238" s="55"/>
      <c r="AJ238" s="55"/>
      <c r="AK238" s="55"/>
      <c r="AL238" s="55"/>
      <c r="AM238" s="55"/>
      <c r="AN238" s="60">
        <v>0</v>
      </c>
      <c r="AO238" s="307">
        <f t="shared" si="31"/>
        <v>70</v>
      </c>
    </row>
    <row r="239" spans="1:43" ht="21" x14ac:dyDescent="0.35">
      <c r="A239" s="93">
        <v>10</v>
      </c>
      <c r="B239" s="314" t="s">
        <v>643</v>
      </c>
      <c r="C239" s="70" t="s">
        <v>295</v>
      </c>
      <c r="D239" s="136">
        <v>1</v>
      </c>
      <c r="E239" s="58"/>
      <c r="F239" s="58"/>
      <c r="G239" s="58"/>
      <c r="H239" s="58"/>
      <c r="I239" s="58"/>
      <c r="J239" s="55"/>
      <c r="K239" s="55"/>
      <c r="L239" s="55"/>
      <c r="M239" s="55">
        <v>7</v>
      </c>
      <c r="N239" s="55">
        <v>1</v>
      </c>
      <c r="O239" s="55"/>
      <c r="P239" s="58">
        <v>6</v>
      </c>
      <c r="Q239" s="58"/>
      <c r="R239" s="58">
        <v>10</v>
      </c>
      <c r="S239" s="58"/>
      <c r="T239" s="58"/>
      <c r="U239" s="58"/>
      <c r="V239" s="55"/>
      <c r="W239" s="55"/>
      <c r="X239" s="55"/>
      <c r="Y239" s="55"/>
      <c r="Z239" s="55"/>
      <c r="AA239" s="55"/>
      <c r="AB239" s="58"/>
      <c r="AC239" s="58"/>
      <c r="AD239" s="58"/>
      <c r="AE239" s="58"/>
      <c r="AF239" s="58"/>
      <c r="AG239" s="58"/>
      <c r="AH239" s="48"/>
      <c r="AI239" s="48"/>
      <c r="AJ239" s="48"/>
      <c r="AK239" s="134"/>
      <c r="AL239" s="134"/>
      <c r="AM239" s="134"/>
      <c r="AN239" s="137">
        <v>0</v>
      </c>
      <c r="AO239" s="307">
        <f t="shared" si="31"/>
        <v>25</v>
      </c>
    </row>
    <row r="240" spans="1:43" ht="21" x14ac:dyDescent="0.35">
      <c r="A240" s="140">
        <v>1</v>
      </c>
      <c r="B240" s="317" t="s">
        <v>595</v>
      </c>
      <c r="C240" s="141" t="s">
        <v>296</v>
      </c>
      <c r="D240" s="82">
        <v>14</v>
      </c>
      <c r="E240" s="82"/>
      <c r="F240" s="83">
        <v>1</v>
      </c>
      <c r="G240" s="82"/>
      <c r="H240" s="82"/>
      <c r="I240" s="82">
        <v>2</v>
      </c>
      <c r="J240" s="84"/>
      <c r="K240" s="84">
        <v>2</v>
      </c>
      <c r="L240" s="85">
        <v>5</v>
      </c>
      <c r="M240" s="84">
        <v>20</v>
      </c>
      <c r="N240" s="84">
        <v>1</v>
      </c>
      <c r="O240" s="84"/>
      <c r="P240" s="82">
        <v>21</v>
      </c>
      <c r="Q240" s="82"/>
      <c r="R240" s="82">
        <v>20</v>
      </c>
      <c r="S240" s="82"/>
      <c r="T240" s="82"/>
      <c r="U240" s="82"/>
      <c r="V240" s="84"/>
      <c r="W240" s="84"/>
      <c r="X240" s="84"/>
      <c r="Y240" s="84"/>
      <c r="Z240" s="84"/>
      <c r="AA240" s="84"/>
      <c r="AB240" s="82"/>
      <c r="AC240" s="82"/>
      <c r="AD240" s="82"/>
      <c r="AE240" s="82"/>
      <c r="AF240" s="82"/>
      <c r="AG240" s="82"/>
      <c r="AH240" s="84"/>
      <c r="AI240" s="84"/>
      <c r="AJ240" s="84"/>
      <c r="AK240" s="84"/>
      <c r="AL240" s="84"/>
      <c r="AM240" s="84"/>
      <c r="AN240" s="86">
        <v>0</v>
      </c>
      <c r="AO240" s="308">
        <f>D240+E240+F240+G240+H240+I240+J240+K240+L240+M240+N240+O240+P240+Q240+R240+S240+T240+U240+V240+W240+X240+Y240+Z240+AA240+AB240+AC240+AD240+AE240+AF240+AG240+AH240+AI240+AJ240+AK240+AL240+AM240+AN240</f>
        <v>86</v>
      </c>
      <c r="AP240" s="18"/>
      <c r="AQ240" s="18"/>
    </row>
    <row r="241" spans="1:43" ht="21" x14ac:dyDescent="0.35">
      <c r="A241" s="138">
        <v>2</v>
      </c>
      <c r="B241" s="317" t="s">
        <v>595</v>
      </c>
      <c r="C241" s="139" t="s">
        <v>297</v>
      </c>
      <c r="D241" s="47">
        <v>1</v>
      </c>
      <c r="E241" s="47"/>
      <c r="F241" s="47"/>
      <c r="G241" s="47"/>
      <c r="H241" s="47">
        <v>1</v>
      </c>
      <c r="I241" s="47"/>
      <c r="J241" s="48"/>
      <c r="K241" s="48"/>
      <c r="L241" s="48"/>
      <c r="M241" s="48">
        <v>4</v>
      </c>
      <c r="N241" s="48"/>
      <c r="O241" s="48"/>
      <c r="P241" s="47">
        <v>7</v>
      </c>
      <c r="Q241" s="47"/>
      <c r="R241" s="47"/>
      <c r="S241" s="47"/>
      <c r="T241" s="47"/>
      <c r="U241" s="47"/>
      <c r="V241" s="48"/>
      <c r="W241" s="48"/>
      <c r="X241" s="48"/>
      <c r="Y241" s="48"/>
      <c r="Z241" s="48"/>
      <c r="AA241" s="48"/>
      <c r="AB241" s="47"/>
      <c r="AC241" s="47"/>
      <c r="AD241" s="47"/>
      <c r="AE241" s="47"/>
      <c r="AF241" s="47"/>
      <c r="AG241" s="47"/>
      <c r="AH241" s="48"/>
      <c r="AI241" s="48"/>
      <c r="AJ241" s="48"/>
      <c r="AK241" s="48"/>
      <c r="AL241" s="48"/>
      <c r="AM241" s="48"/>
      <c r="AN241" s="50">
        <v>0</v>
      </c>
      <c r="AO241" s="308">
        <f t="shared" ref="AO241:AO250" si="32">D241+E241+F241+G241+H241+I241+J241+K241+L241+M241+N241+O241+P241+Q241+R241+S241+T241+U241+V241+W241+X241+Y241+Z241+AA241+AB241+AC241+AD241+AE241+AF241+AG241+AH241+AI241+AJ241+AK241+AL241+AM241+AN241</f>
        <v>13</v>
      </c>
    </row>
    <row r="242" spans="1:43" ht="21" x14ac:dyDescent="0.35">
      <c r="A242" s="138">
        <v>3</v>
      </c>
      <c r="B242" s="317" t="s">
        <v>595</v>
      </c>
      <c r="C242" s="139" t="s">
        <v>298</v>
      </c>
      <c r="D242" s="57">
        <v>1</v>
      </c>
      <c r="E242" s="47"/>
      <c r="F242" s="47">
        <v>1</v>
      </c>
      <c r="G242" s="47"/>
      <c r="H242" s="47"/>
      <c r="I242" s="47">
        <v>2</v>
      </c>
      <c r="J242" s="48"/>
      <c r="K242" s="48"/>
      <c r="L242" s="48">
        <v>2</v>
      </c>
      <c r="M242" s="48">
        <v>2</v>
      </c>
      <c r="N242" s="48"/>
      <c r="O242" s="48"/>
      <c r="P242" s="47">
        <v>13</v>
      </c>
      <c r="Q242" s="47"/>
      <c r="R242" s="47">
        <v>4</v>
      </c>
      <c r="S242" s="47"/>
      <c r="T242" s="47"/>
      <c r="U242" s="47"/>
      <c r="V242" s="55"/>
      <c r="W242" s="48"/>
      <c r="X242" s="48"/>
      <c r="Y242" s="48"/>
      <c r="Z242" s="48"/>
      <c r="AA242" s="48"/>
      <c r="AB242" s="47"/>
      <c r="AC242" s="47"/>
      <c r="AD242" s="47"/>
      <c r="AE242" s="47"/>
      <c r="AF242" s="47"/>
      <c r="AG242" s="47"/>
      <c r="AH242" s="48"/>
      <c r="AI242" s="48"/>
      <c r="AJ242" s="48"/>
      <c r="AK242" s="48"/>
      <c r="AL242" s="48"/>
      <c r="AM242" s="48"/>
      <c r="AN242" s="50">
        <v>0</v>
      </c>
      <c r="AO242" s="308">
        <f t="shared" si="32"/>
        <v>25</v>
      </c>
    </row>
    <row r="243" spans="1:43" ht="21" x14ac:dyDescent="0.35">
      <c r="A243" s="138">
        <v>4</v>
      </c>
      <c r="B243" s="317" t="s">
        <v>595</v>
      </c>
      <c r="C243" s="139" t="s">
        <v>299</v>
      </c>
      <c r="D243" s="47">
        <v>12</v>
      </c>
      <c r="E243" s="57"/>
      <c r="F243" s="57"/>
      <c r="G243" s="47"/>
      <c r="H243" s="47"/>
      <c r="I243" s="47">
        <v>1</v>
      </c>
      <c r="J243" s="48"/>
      <c r="K243" s="55">
        <v>1</v>
      </c>
      <c r="L243" s="55">
        <v>6</v>
      </c>
      <c r="M243" s="55">
        <v>27</v>
      </c>
      <c r="N243" s="55"/>
      <c r="O243" s="55"/>
      <c r="P243" s="47">
        <v>132</v>
      </c>
      <c r="Q243" s="57"/>
      <c r="R243" s="57">
        <v>71</v>
      </c>
      <c r="S243" s="57"/>
      <c r="T243" s="57"/>
      <c r="U243" s="57"/>
      <c r="V243" s="48"/>
      <c r="W243" s="55"/>
      <c r="X243" s="55">
        <v>1</v>
      </c>
      <c r="Y243" s="55"/>
      <c r="Z243" s="55"/>
      <c r="AA243" s="55"/>
      <c r="AB243" s="57"/>
      <c r="AC243" s="57"/>
      <c r="AD243" s="57"/>
      <c r="AE243" s="57"/>
      <c r="AF243" s="57"/>
      <c r="AG243" s="57"/>
      <c r="AH243" s="48"/>
      <c r="AI243" s="55"/>
      <c r="AJ243" s="55"/>
      <c r="AK243" s="55"/>
      <c r="AL243" s="55"/>
      <c r="AM243" s="55"/>
      <c r="AN243" s="60">
        <v>0</v>
      </c>
      <c r="AO243" s="308">
        <f t="shared" si="32"/>
        <v>251</v>
      </c>
    </row>
    <row r="244" spans="1:43" ht="21" x14ac:dyDescent="0.35">
      <c r="A244" s="138">
        <v>5</v>
      </c>
      <c r="B244" s="317" t="s">
        <v>595</v>
      </c>
      <c r="C244" s="139" t="s">
        <v>300</v>
      </c>
      <c r="D244" s="47"/>
      <c r="E244" s="47"/>
      <c r="F244" s="47"/>
      <c r="G244" s="47"/>
      <c r="H244" s="47"/>
      <c r="I244" s="47"/>
      <c r="J244" s="48"/>
      <c r="K244" s="48"/>
      <c r="L244" s="48">
        <v>2</v>
      </c>
      <c r="M244" s="48">
        <v>10</v>
      </c>
      <c r="N244" s="48">
        <v>1</v>
      </c>
      <c r="O244" s="48"/>
      <c r="P244" s="47">
        <v>2</v>
      </c>
      <c r="Q244" s="47"/>
      <c r="R244" s="47">
        <v>2</v>
      </c>
      <c r="S244" s="47"/>
      <c r="T244" s="47"/>
      <c r="U244" s="47"/>
      <c r="V244" s="48"/>
      <c r="W244" s="48"/>
      <c r="X244" s="48"/>
      <c r="Y244" s="48"/>
      <c r="Z244" s="48"/>
      <c r="AA244" s="48"/>
      <c r="AB244" s="47"/>
      <c r="AC244" s="47"/>
      <c r="AD244" s="47"/>
      <c r="AE244" s="47"/>
      <c r="AF244" s="47"/>
      <c r="AG244" s="47"/>
      <c r="AH244" s="48"/>
      <c r="AI244" s="48"/>
      <c r="AJ244" s="48"/>
      <c r="AK244" s="48"/>
      <c r="AL244" s="48"/>
      <c r="AM244" s="48"/>
      <c r="AN244" s="50">
        <v>0</v>
      </c>
      <c r="AO244" s="308">
        <f t="shared" si="32"/>
        <v>17</v>
      </c>
    </row>
    <row r="245" spans="1:43" ht="21" x14ac:dyDescent="0.35">
      <c r="A245" s="142">
        <v>6</v>
      </c>
      <c r="B245" s="317" t="s">
        <v>595</v>
      </c>
      <c r="C245" s="143" t="s">
        <v>301</v>
      </c>
      <c r="D245" s="57">
        <v>4</v>
      </c>
      <c r="E245" s="57"/>
      <c r="F245" s="57"/>
      <c r="G245" s="57"/>
      <c r="H245" s="57"/>
      <c r="I245" s="57">
        <v>1</v>
      </c>
      <c r="J245" s="55"/>
      <c r="K245" s="55"/>
      <c r="L245" s="55">
        <v>2</v>
      </c>
      <c r="M245" s="55">
        <v>20</v>
      </c>
      <c r="N245" s="55"/>
      <c r="O245" s="55"/>
      <c r="P245" s="57">
        <v>20</v>
      </c>
      <c r="Q245" s="57"/>
      <c r="R245" s="57">
        <v>9</v>
      </c>
      <c r="S245" s="57"/>
      <c r="T245" s="57"/>
      <c r="U245" s="57"/>
      <c r="V245" s="55"/>
      <c r="W245" s="55"/>
      <c r="X245" s="55">
        <v>6</v>
      </c>
      <c r="Y245" s="55"/>
      <c r="Z245" s="55"/>
      <c r="AA245" s="55"/>
      <c r="AB245" s="57"/>
      <c r="AC245" s="57"/>
      <c r="AD245" s="57"/>
      <c r="AE245" s="57"/>
      <c r="AF245" s="57"/>
      <c r="AG245" s="57"/>
      <c r="AH245" s="55"/>
      <c r="AI245" s="55"/>
      <c r="AJ245" s="55"/>
      <c r="AK245" s="55"/>
      <c r="AL245" s="55"/>
      <c r="AM245" s="55"/>
      <c r="AN245" s="60">
        <v>0</v>
      </c>
      <c r="AO245" s="308">
        <f t="shared" si="32"/>
        <v>62</v>
      </c>
      <c r="AP245" s="17"/>
      <c r="AQ245" s="17"/>
    </row>
    <row r="246" spans="1:43" ht="21" x14ac:dyDescent="0.35">
      <c r="A246" s="138">
        <v>7</v>
      </c>
      <c r="B246" s="317" t="s">
        <v>595</v>
      </c>
      <c r="C246" s="139" t="s">
        <v>302</v>
      </c>
      <c r="D246" s="47">
        <v>1</v>
      </c>
      <c r="E246" s="47"/>
      <c r="F246" s="47"/>
      <c r="G246" s="47"/>
      <c r="H246" s="47"/>
      <c r="I246" s="47"/>
      <c r="J246" s="48"/>
      <c r="K246" s="48"/>
      <c r="L246" s="48"/>
      <c r="M246" s="48">
        <v>13</v>
      </c>
      <c r="N246" s="48"/>
      <c r="O246" s="48"/>
      <c r="P246" s="47">
        <v>8</v>
      </c>
      <c r="Q246" s="47"/>
      <c r="R246" s="47">
        <v>1</v>
      </c>
      <c r="S246" s="47"/>
      <c r="T246" s="47"/>
      <c r="U246" s="47"/>
      <c r="V246" s="48"/>
      <c r="W246" s="48"/>
      <c r="X246" s="48"/>
      <c r="Y246" s="48"/>
      <c r="Z246" s="48"/>
      <c r="AA246" s="48"/>
      <c r="AB246" s="47"/>
      <c r="AC246" s="47"/>
      <c r="AD246" s="47"/>
      <c r="AE246" s="47"/>
      <c r="AF246" s="47"/>
      <c r="AG246" s="47"/>
      <c r="AH246" s="48"/>
      <c r="AI246" s="48"/>
      <c r="AJ246" s="48"/>
      <c r="AK246" s="48"/>
      <c r="AL246" s="48"/>
      <c r="AM246" s="48"/>
      <c r="AN246" s="50">
        <v>0</v>
      </c>
      <c r="AO246" s="308">
        <f t="shared" si="32"/>
        <v>23</v>
      </c>
    </row>
    <row r="247" spans="1:43" ht="21" x14ac:dyDescent="0.35">
      <c r="A247" s="138">
        <v>8</v>
      </c>
      <c r="B247" s="317" t="s">
        <v>595</v>
      </c>
      <c r="C247" s="139" t="s">
        <v>303</v>
      </c>
      <c r="D247" s="47">
        <v>2</v>
      </c>
      <c r="E247" s="47"/>
      <c r="F247" s="47"/>
      <c r="G247" s="47"/>
      <c r="H247" s="47"/>
      <c r="I247" s="47"/>
      <c r="J247" s="48"/>
      <c r="K247" s="48"/>
      <c r="L247" s="48"/>
      <c r="M247" s="48">
        <v>7</v>
      </c>
      <c r="N247" s="48"/>
      <c r="O247" s="48"/>
      <c r="P247" s="47">
        <v>1</v>
      </c>
      <c r="Q247" s="47"/>
      <c r="R247" s="47"/>
      <c r="S247" s="47"/>
      <c r="T247" s="47"/>
      <c r="U247" s="47"/>
      <c r="V247" s="48"/>
      <c r="W247" s="48"/>
      <c r="X247" s="48"/>
      <c r="Y247" s="48"/>
      <c r="Z247" s="48">
        <v>1</v>
      </c>
      <c r="AA247" s="48"/>
      <c r="AB247" s="47"/>
      <c r="AC247" s="47"/>
      <c r="AD247" s="47"/>
      <c r="AE247" s="47"/>
      <c r="AF247" s="47"/>
      <c r="AG247" s="47"/>
      <c r="AH247" s="48"/>
      <c r="AI247" s="48"/>
      <c r="AJ247" s="48"/>
      <c r="AK247" s="48"/>
      <c r="AL247" s="48"/>
      <c r="AM247" s="48"/>
      <c r="AN247" s="50">
        <v>0</v>
      </c>
      <c r="AO247" s="308">
        <f t="shared" si="32"/>
        <v>11</v>
      </c>
    </row>
    <row r="248" spans="1:43" ht="21" x14ac:dyDescent="0.35">
      <c r="A248" s="138">
        <v>9</v>
      </c>
      <c r="B248" s="317" t="s">
        <v>595</v>
      </c>
      <c r="C248" s="139" t="s">
        <v>304</v>
      </c>
      <c r="D248" s="47">
        <v>9</v>
      </c>
      <c r="E248" s="47"/>
      <c r="F248" s="47">
        <v>1</v>
      </c>
      <c r="G248" s="47"/>
      <c r="H248" s="47"/>
      <c r="I248" s="47"/>
      <c r="J248" s="48"/>
      <c r="K248" s="48">
        <v>2</v>
      </c>
      <c r="L248" s="48">
        <v>2</v>
      </c>
      <c r="M248" s="48">
        <v>40</v>
      </c>
      <c r="N248" s="48">
        <v>1</v>
      </c>
      <c r="O248" s="48"/>
      <c r="P248" s="47">
        <v>47</v>
      </c>
      <c r="Q248" s="47"/>
      <c r="R248" s="47">
        <v>7</v>
      </c>
      <c r="S248" s="47"/>
      <c r="T248" s="47"/>
      <c r="U248" s="47"/>
      <c r="V248" s="48"/>
      <c r="W248" s="48"/>
      <c r="X248" s="48">
        <v>3</v>
      </c>
      <c r="Y248" s="48"/>
      <c r="Z248" s="48"/>
      <c r="AA248" s="48"/>
      <c r="AB248" s="47"/>
      <c r="AC248" s="47">
        <v>1</v>
      </c>
      <c r="AD248" s="47"/>
      <c r="AE248" s="47"/>
      <c r="AF248" s="47"/>
      <c r="AG248" s="47"/>
      <c r="AH248" s="48"/>
      <c r="AI248" s="48"/>
      <c r="AJ248" s="48"/>
      <c r="AK248" s="48"/>
      <c r="AL248" s="48"/>
      <c r="AM248" s="48"/>
      <c r="AN248" s="50">
        <v>0</v>
      </c>
      <c r="AO248" s="308">
        <f t="shared" si="32"/>
        <v>113</v>
      </c>
    </row>
    <row r="249" spans="1:43" ht="21" x14ac:dyDescent="0.35">
      <c r="A249" s="138">
        <v>10</v>
      </c>
      <c r="B249" s="317" t="s">
        <v>595</v>
      </c>
      <c r="C249" s="139" t="s">
        <v>305</v>
      </c>
      <c r="D249" s="47">
        <v>2</v>
      </c>
      <c r="E249" s="47"/>
      <c r="F249" s="47"/>
      <c r="G249" s="47"/>
      <c r="H249" s="47"/>
      <c r="I249" s="47"/>
      <c r="J249" s="48"/>
      <c r="K249" s="48">
        <v>1</v>
      </c>
      <c r="L249" s="48"/>
      <c r="M249" s="48">
        <v>8</v>
      </c>
      <c r="N249" s="48"/>
      <c r="O249" s="48"/>
      <c r="P249" s="47">
        <v>10</v>
      </c>
      <c r="Q249" s="47"/>
      <c r="R249" s="47">
        <v>6</v>
      </c>
      <c r="S249" s="47"/>
      <c r="T249" s="47"/>
      <c r="U249" s="47"/>
      <c r="V249" s="48"/>
      <c r="W249" s="48"/>
      <c r="X249" s="48"/>
      <c r="Y249" s="48"/>
      <c r="Z249" s="48"/>
      <c r="AA249" s="48"/>
      <c r="AB249" s="47"/>
      <c r="AC249" s="47"/>
      <c r="AD249" s="47"/>
      <c r="AE249" s="47"/>
      <c r="AF249" s="47"/>
      <c r="AG249" s="47"/>
      <c r="AH249" s="48"/>
      <c r="AI249" s="48"/>
      <c r="AJ249" s="48"/>
      <c r="AK249" s="48"/>
      <c r="AL249" s="48"/>
      <c r="AM249" s="48"/>
      <c r="AN249" s="50">
        <v>0</v>
      </c>
      <c r="AO249" s="308">
        <f t="shared" si="32"/>
        <v>27</v>
      </c>
    </row>
    <row r="250" spans="1:43" ht="21" x14ac:dyDescent="0.35">
      <c r="A250" s="138">
        <v>11</v>
      </c>
      <c r="B250" s="317" t="s">
        <v>595</v>
      </c>
      <c r="C250" s="139" t="s">
        <v>306</v>
      </c>
      <c r="D250" s="47">
        <v>0</v>
      </c>
      <c r="E250" s="47">
        <v>0</v>
      </c>
      <c r="F250" s="47">
        <v>0</v>
      </c>
      <c r="G250" s="47">
        <v>0</v>
      </c>
      <c r="H250" s="47">
        <v>0</v>
      </c>
      <c r="I250" s="47">
        <v>0</v>
      </c>
      <c r="J250" s="48">
        <v>0</v>
      </c>
      <c r="K250" s="48">
        <v>0</v>
      </c>
      <c r="L250" s="48">
        <v>0</v>
      </c>
      <c r="M250" s="48">
        <v>0</v>
      </c>
      <c r="N250" s="48">
        <v>0</v>
      </c>
      <c r="O250" s="48">
        <v>0</v>
      </c>
      <c r="P250" s="47">
        <v>0</v>
      </c>
      <c r="Q250" s="47">
        <v>0</v>
      </c>
      <c r="R250" s="47">
        <v>0</v>
      </c>
      <c r="S250" s="47">
        <v>0</v>
      </c>
      <c r="T250" s="47">
        <v>0</v>
      </c>
      <c r="U250" s="47">
        <v>0</v>
      </c>
      <c r="V250" s="48">
        <v>0</v>
      </c>
      <c r="W250" s="48">
        <v>0</v>
      </c>
      <c r="X250" s="48">
        <v>0</v>
      </c>
      <c r="Y250" s="48">
        <v>0</v>
      </c>
      <c r="Z250" s="48">
        <v>0</v>
      </c>
      <c r="AA250" s="48">
        <v>0</v>
      </c>
      <c r="AB250" s="47">
        <v>0</v>
      </c>
      <c r="AC250" s="47">
        <v>0</v>
      </c>
      <c r="AD250" s="47">
        <v>0</v>
      </c>
      <c r="AE250" s="47">
        <v>0</v>
      </c>
      <c r="AF250" s="47">
        <v>0</v>
      </c>
      <c r="AG250" s="47">
        <v>0</v>
      </c>
      <c r="AH250" s="48">
        <v>0</v>
      </c>
      <c r="AI250" s="48">
        <v>0</v>
      </c>
      <c r="AJ250" s="48">
        <v>0</v>
      </c>
      <c r="AK250" s="48">
        <v>0</v>
      </c>
      <c r="AL250" s="48">
        <v>0</v>
      </c>
      <c r="AM250" s="48">
        <v>0</v>
      </c>
      <c r="AN250" s="50">
        <v>0</v>
      </c>
      <c r="AO250" s="308">
        <f t="shared" si="32"/>
        <v>0</v>
      </c>
    </row>
    <row r="251" spans="1:43" ht="21" x14ac:dyDescent="0.35">
      <c r="A251" s="138">
        <v>1</v>
      </c>
      <c r="B251" s="317" t="s">
        <v>607</v>
      </c>
      <c r="C251" s="143" t="s">
        <v>307</v>
      </c>
      <c r="D251" s="47">
        <v>1</v>
      </c>
      <c r="E251" s="47">
        <v>0</v>
      </c>
      <c r="F251" s="47">
        <v>0</v>
      </c>
      <c r="G251" s="47">
        <v>0</v>
      </c>
      <c r="H251" s="47">
        <v>0</v>
      </c>
      <c r="I251" s="47">
        <v>0</v>
      </c>
      <c r="J251" s="48">
        <v>0</v>
      </c>
      <c r="K251" s="48">
        <v>0</v>
      </c>
      <c r="L251" s="48">
        <v>0</v>
      </c>
      <c r="M251" s="48">
        <v>4</v>
      </c>
      <c r="N251" s="48">
        <v>0</v>
      </c>
      <c r="O251" s="48">
        <v>0</v>
      </c>
      <c r="P251" s="47">
        <v>5</v>
      </c>
      <c r="Q251" s="47">
        <v>0</v>
      </c>
      <c r="R251" s="47">
        <v>1</v>
      </c>
      <c r="S251" s="47">
        <v>0</v>
      </c>
      <c r="T251" s="47">
        <v>0</v>
      </c>
      <c r="U251" s="47">
        <v>0</v>
      </c>
      <c r="V251" s="48">
        <v>0</v>
      </c>
      <c r="W251" s="48">
        <v>0</v>
      </c>
      <c r="X251" s="48">
        <v>0</v>
      </c>
      <c r="Y251" s="48">
        <v>0</v>
      </c>
      <c r="Z251" s="48">
        <v>0</v>
      </c>
      <c r="AA251" s="48">
        <v>0</v>
      </c>
      <c r="AB251" s="47">
        <v>0</v>
      </c>
      <c r="AC251" s="47">
        <v>0</v>
      </c>
      <c r="AD251" s="47">
        <v>0</v>
      </c>
      <c r="AE251" s="47">
        <v>0</v>
      </c>
      <c r="AF251" s="47">
        <v>0</v>
      </c>
      <c r="AG251" s="47">
        <v>0</v>
      </c>
      <c r="AH251" s="48">
        <v>0</v>
      </c>
      <c r="AI251" s="48">
        <v>0</v>
      </c>
      <c r="AJ251" s="48">
        <v>0</v>
      </c>
      <c r="AK251" s="48">
        <v>0</v>
      </c>
      <c r="AL251" s="48">
        <v>0</v>
      </c>
      <c r="AM251" s="48">
        <v>0</v>
      </c>
      <c r="AN251" s="50">
        <v>0</v>
      </c>
      <c r="AO251" s="307">
        <f>D251+E251+F251+G251+H251+I251+J251+K251+L251+M251+N251+O251+P251+Q251+R251+S251+T251+U251+V251+W251+X251+Y251+Z251+AA251+AB251+AC251+AD251+AE251+AF251+AG251+AH251+AI251+AJ251+AK251+AL251+AM251+AN251</f>
        <v>11</v>
      </c>
    </row>
    <row r="252" spans="1:43" ht="21" x14ac:dyDescent="0.35">
      <c r="A252" s="138">
        <v>2</v>
      </c>
      <c r="B252" s="317" t="s">
        <v>607</v>
      </c>
      <c r="C252" s="143" t="s">
        <v>308</v>
      </c>
      <c r="D252" s="47"/>
      <c r="E252" s="47"/>
      <c r="F252" s="47"/>
      <c r="G252" s="47"/>
      <c r="H252" s="47"/>
      <c r="I252" s="47"/>
      <c r="J252" s="48"/>
      <c r="K252" s="48"/>
      <c r="L252" s="48">
        <v>2</v>
      </c>
      <c r="M252" s="48"/>
      <c r="N252" s="48"/>
      <c r="O252" s="48"/>
      <c r="P252" s="47">
        <v>3</v>
      </c>
      <c r="Q252" s="47"/>
      <c r="R252" s="47"/>
      <c r="S252" s="47"/>
      <c r="T252" s="47"/>
      <c r="U252" s="47"/>
      <c r="V252" s="48"/>
      <c r="W252" s="48"/>
      <c r="X252" s="48"/>
      <c r="Y252" s="48"/>
      <c r="Z252" s="48"/>
      <c r="AA252" s="48"/>
      <c r="AB252" s="47"/>
      <c r="AC252" s="47"/>
      <c r="AD252" s="47"/>
      <c r="AE252" s="47"/>
      <c r="AF252" s="47"/>
      <c r="AG252" s="47"/>
      <c r="AH252" s="48"/>
      <c r="AI252" s="48"/>
      <c r="AJ252" s="48"/>
      <c r="AK252" s="48"/>
      <c r="AL252" s="48"/>
      <c r="AM252" s="48"/>
      <c r="AN252" s="50">
        <v>0</v>
      </c>
      <c r="AO252" s="307">
        <f t="shared" ref="AO252:AO258" si="33">D252+E252+F252+G252+H252+I252+J252+K252+L252+M252+N252+O252+P252+Q252+R252+S252+T252+U252+V252+W252+X252+Y252+Z252+AA252+AB252+AC252+AD252+AE252+AF252+AG252+AH252+AI252+AJ252+AK252+AL252+AM252+AN252</f>
        <v>5</v>
      </c>
    </row>
    <row r="253" spans="1:43" ht="21" x14ac:dyDescent="0.35">
      <c r="A253" s="138">
        <v>3</v>
      </c>
      <c r="B253" s="317" t="s">
        <v>607</v>
      </c>
      <c r="C253" s="143" t="s">
        <v>309</v>
      </c>
      <c r="D253" s="47"/>
      <c r="E253" s="47"/>
      <c r="F253" s="47"/>
      <c r="G253" s="47"/>
      <c r="H253" s="47"/>
      <c r="I253" s="47"/>
      <c r="J253" s="48"/>
      <c r="K253" s="48"/>
      <c r="L253" s="48"/>
      <c r="M253" s="48">
        <v>1</v>
      </c>
      <c r="N253" s="48"/>
      <c r="O253" s="48"/>
      <c r="P253" s="47"/>
      <c r="Q253" s="47"/>
      <c r="R253" s="47"/>
      <c r="S253" s="47"/>
      <c r="T253" s="47"/>
      <c r="U253" s="47"/>
      <c r="V253" s="48"/>
      <c r="W253" s="48"/>
      <c r="X253" s="48">
        <v>1</v>
      </c>
      <c r="Y253" s="48"/>
      <c r="Z253" s="48"/>
      <c r="AA253" s="48"/>
      <c r="AB253" s="47"/>
      <c r="AC253" s="47"/>
      <c r="AD253" s="47"/>
      <c r="AE253" s="47"/>
      <c r="AF253" s="47"/>
      <c r="AG253" s="47"/>
      <c r="AH253" s="48"/>
      <c r="AI253" s="48"/>
      <c r="AJ253" s="48"/>
      <c r="AK253" s="48"/>
      <c r="AL253" s="48"/>
      <c r="AM253" s="48"/>
      <c r="AN253" s="50">
        <v>0</v>
      </c>
      <c r="AO253" s="307">
        <f t="shared" si="33"/>
        <v>2</v>
      </c>
    </row>
    <row r="254" spans="1:43" ht="21" x14ac:dyDescent="0.35">
      <c r="A254" s="138">
        <v>4</v>
      </c>
      <c r="B254" s="317" t="s">
        <v>607</v>
      </c>
      <c r="C254" s="139" t="s">
        <v>310</v>
      </c>
      <c r="D254" s="47"/>
      <c r="E254" s="47"/>
      <c r="F254" s="47"/>
      <c r="G254" s="47"/>
      <c r="H254" s="47"/>
      <c r="I254" s="47"/>
      <c r="J254" s="48"/>
      <c r="K254" s="48"/>
      <c r="L254" s="48"/>
      <c r="M254" s="48"/>
      <c r="N254" s="48"/>
      <c r="O254" s="48"/>
      <c r="P254" s="47">
        <v>5</v>
      </c>
      <c r="Q254" s="47"/>
      <c r="R254" s="47">
        <v>3</v>
      </c>
      <c r="S254" s="47"/>
      <c r="T254" s="47"/>
      <c r="U254" s="47"/>
      <c r="V254" s="48"/>
      <c r="W254" s="48"/>
      <c r="X254" s="48"/>
      <c r="Y254" s="48"/>
      <c r="Z254" s="48"/>
      <c r="AA254" s="48"/>
      <c r="AB254" s="47"/>
      <c r="AC254" s="47"/>
      <c r="AD254" s="47"/>
      <c r="AE254" s="47"/>
      <c r="AF254" s="47"/>
      <c r="AG254" s="47"/>
      <c r="AH254" s="48"/>
      <c r="AI254" s="48"/>
      <c r="AJ254" s="48"/>
      <c r="AK254" s="48"/>
      <c r="AL254" s="48"/>
      <c r="AM254" s="48"/>
      <c r="AN254" s="50">
        <v>0</v>
      </c>
      <c r="AO254" s="307">
        <f t="shared" si="33"/>
        <v>8</v>
      </c>
    </row>
    <row r="255" spans="1:43" ht="21" x14ac:dyDescent="0.35">
      <c r="A255" s="140">
        <v>5</v>
      </c>
      <c r="B255" s="317" t="s">
        <v>607</v>
      </c>
      <c r="C255" s="141" t="s">
        <v>311</v>
      </c>
      <c r="D255" s="82"/>
      <c r="E255" s="82"/>
      <c r="F255" s="83"/>
      <c r="G255" s="82"/>
      <c r="H255" s="82"/>
      <c r="I255" s="82"/>
      <c r="J255" s="84"/>
      <c r="K255" s="84"/>
      <c r="L255" s="85"/>
      <c r="M255" s="84"/>
      <c r="N255" s="84"/>
      <c r="O255" s="84"/>
      <c r="P255" s="82"/>
      <c r="Q255" s="82"/>
      <c r="R255" s="82"/>
      <c r="S255" s="82"/>
      <c r="T255" s="82"/>
      <c r="U255" s="82"/>
      <c r="V255" s="84"/>
      <c r="W255" s="84"/>
      <c r="X255" s="84"/>
      <c r="Y255" s="84"/>
      <c r="Z255" s="84"/>
      <c r="AA255" s="84"/>
      <c r="AB255" s="82"/>
      <c r="AC255" s="82"/>
      <c r="AD255" s="82"/>
      <c r="AE255" s="82"/>
      <c r="AF255" s="82"/>
      <c r="AG255" s="82"/>
      <c r="AH255" s="84"/>
      <c r="AI255" s="84"/>
      <c r="AJ255" s="84"/>
      <c r="AK255" s="84"/>
      <c r="AL255" s="84"/>
      <c r="AM255" s="84"/>
      <c r="AN255" s="86">
        <v>0</v>
      </c>
      <c r="AO255" s="307">
        <f t="shared" si="33"/>
        <v>0</v>
      </c>
    </row>
    <row r="256" spans="1:43" ht="21" x14ac:dyDescent="0.35">
      <c r="A256" s="138">
        <v>6</v>
      </c>
      <c r="B256" s="317" t="s">
        <v>607</v>
      </c>
      <c r="C256" s="139" t="s">
        <v>312</v>
      </c>
      <c r="D256" s="47"/>
      <c r="E256" s="47"/>
      <c r="F256" s="47"/>
      <c r="G256" s="47"/>
      <c r="H256" s="47"/>
      <c r="I256" s="47"/>
      <c r="J256" s="48"/>
      <c r="K256" s="48"/>
      <c r="L256" s="48">
        <v>1</v>
      </c>
      <c r="M256" s="48">
        <v>2</v>
      </c>
      <c r="N256" s="48"/>
      <c r="O256" s="48"/>
      <c r="P256" s="47">
        <v>2</v>
      </c>
      <c r="Q256" s="47"/>
      <c r="R256" s="47">
        <v>1</v>
      </c>
      <c r="S256" s="47"/>
      <c r="T256" s="47"/>
      <c r="U256" s="47"/>
      <c r="V256" s="48"/>
      <c r="W256" s="48"/>
      <c r="X256" s="48">
        <v>7</v>
      </c>
      <c r="Y256" s="48"/>
      <c r="Z256" s="48"/>
      <c r="AA256" s="48"/>
      <c r="AB256" s="47"/>
      <c r="AC256" s="47"/>
      <c r="AD256" s="47"/>
      <c r="AE256" s="47"/>
      <c r="AF256" s="47"/>
      <c r="AG256" s="47"/>
      <c r="AH256" s="48"/>
      <c r="AI256" s="48"/>
      <c r="AJ256" s="48"/>
      <c r="AK256" s="48"/>
      <c r="AL256" s="48"/>
      <c r="AM256" s="48"/>
      <c r="AN256" s="50">
        <v>0</v>
      </c>
      <c r="AO256" s="307">
        <f t="shared" si="33"/>
        <v>13</v>
      </c>
    </row>
    <row r="257" spans="1:41" ht="21" x14ac:dyDescent="0.35">
      <c r="A257" s="142">
        <v>7</v>
      </c>
      <c r="B257" s="317" t="s">
        <v>607</v>
      </c>
      <c r="C257" s="143" t="s">
        <v>313</v>
      </c>
      <c r="D257" s="57"/>
      <c r="E257" s="57"/>
      <c r="F257" s="58"/>
      <c r="G257" s="57"/>
      <c r="H257" s="57"/>
      <c r="I257" s="57"/>
      <c r="J257" s="55"/>
      <c r="K257" s="55"/>
      <c r="L257" s="59"/>
      <c r="M257" s="55"/>
      <c r="N257" s="55"/>
      <c r="O257" s="55"/>
      <c r="P257" s="57"/>
      <c r="Q257" s="57"/>
      <c r="R257" s="57"/>
      <c r="S257" s="57"/>
      <c r="T257" s="57"/>
      <c r="U257" s="57"/>
      <c r="V257" s="55"/>
      <c r="W257" s="55"/>
      <c r="X257" s="55"/>
      <c r="Y257" s="55"/>
      <c r="Z257" s="55"/>
      <c r="AA257" s="55"/>
      <c r="AB257" s="57"/>
      <c r="AC257" s="57"/>
      <c r="AD257" s="57"/>
      <c r="AE257" s="57"/>
      <c r="AF257" s="57"/>
      <c r="AG257" s="57"/>
      <c r="AH257" s="55"/>
      <c r="AI257" s="55"/>
      <c r="AJ257" s="55"/>
      <c r="AK257" s="55"/>
      <c r="AL257" s="55"/>
      <c r="AM257" s="55"/>
      <c r="AN257" s="60">
        <v>0</v>
      </c>
      <c r="AO257" s="307">
        <f t="shared" si="33"/>
        <v>0</v>
      </c>
    </row>
    <row r="258" spans="1:41" ht="21" x14ac:dyDescent="0.35">
      <c r="A258" s="140">
        <v>8</v>
      </c>
      <c r="B258" s="317" t="s">
        <v>607</v>
      </c>
      <c r="C258" s="141" t="s">
        <v>314</v>
      </c>
      <c r="D258" s="82"/>
      <c r="E258" s="82"/>
      <c r="F258" s="83"/>
      <c r="G258" s="82"/>
      <c r="H258" s="82"/>
      <c r="I258" s="82"/>
      <c r="J258" s="84"/>
      <c r="K258" s="84"/>
      <c r="L258" s="85"/>
      <c r="M258" s="84">
        <v>1</v>
      </c>
      <c r="N258" s="84"/>
      <c r="O258" s="84"/>
      <c r="P258" s="82"/>
      <c r="Q258" s="82"/>
      <c r="R258" s="82"/>
      <c r="S258" s="82"/>
      <c r="T258" s="82"/>
      <c r="U258" s="82"/>
      <c r="V258" s="84"/>
      <c r="W258" s="84"/>
      <c r="X258" s="84">
        <v>3</v>
      </c>
      <c r="Y258" s="84"/>
      <c r="Z258" s="84"/>
      <c r="AA258" s="84"/>
      <c r="AB258" s="82"/>
      <c r="AC258" s="82"/>
      <c r="AD258" s="82"/>
      <c r="AE258" s="82"/>
      <c r="AF258" s="82"/>
      <c r="AG258" s="82"/>
      <c r="AH258" s="84"/>
      <c r="AI258" s="84"/>
      <c r="AJ258" s="84"/>
      <c r="AK258" s="84"/>
      <c r="AL258" s="84"/>
      <c r="AM258" s="84"/>
      <c r="AN258" s="86">
        <v>0</v>
      </c>
      <c r="AO258" s="307">
        <f t="shared" si="33"/>
        <v>4</v>
      </c>
    </row>
    <row r="259" spans="1:41" ht="21" x14ac:dyDescent="0.35">
      <c r="A259" s="142">
        <v>1</v>
      </c>
      <c r="B259" s="317" t="s">
        <v>616</v>
      </c>
      <c r="C259" s="143" t="s">
        <v>315</v>
      </c>
      <c r="D259" s="47"/>
      <c r="E259" s="47"/>
      <c r="F259" s="47"/>
      <c r="G259" s="47"/>
      <c r="H259" s="47"/>
      <c r="I259" s="47"/>
      <c r="J259" s="48"/>
      <c r="K259" s="48"/>
      <c r="L259" s="48"/>
      <c r="M259" s="48">
        <v>1</v>
      </c>
      <c r="N259" s="48"/>
      <c r="O259" s="48"/>
      <c r="P259" s="47">
        <v>2</v>
      </c>
      <c r="Q259" s="47"/>
      <c r="R259" s="47">
        <v>11</v>
      </c>
      <c r="S259" s="47"/>
      <c r="T259" s="47"/>
      <c r="U259" s="47"/>
      <c r="V259" s="48"/>
      <c r="W259" s="48"/>
      <c r="X259" s="48"/>
      <c r="Y259" s="48"/>
      <c r="Z259" s="48"/>
      <c r="AA259" s="48"/>
      <c r="AB259" s="47"/>
      <c r="AC259" s="47"/>
      <c r="AD259" s="47"/>
      <c r="AE259" s="47"/>
      <c r="AF259" s="47"/>
      <c r="AG259" s="47"/>
      <c r="AH259" s="48"/>
      <c r="AI259" s="48"/>
      <c r="AJ259" s="48"/>
      <c r="AK259" s="48"/>
      <c r="AL259" s="48"/>
      <c r="AM259" s="48"/>
      <c r="AN259" s="50">
        <v>0</v>
      </c>
      <c r="AO259" s="307">
        <f>D259+E259+F259+G259+H259+I259+J259+K259+L259+M259+N259+O259+P259+Q259+R259+T259+S259+U259+V259+W259+X259+Y259+Z259+AA259+AB259+AC259+AD259+AE259+AF259+AG259+AH259+AI259+AJ259+AK259+AL259+AM259+AN259</f>
        <v>14</v>
      </c>
    </row>
    <row r="260" spans="1:41" ht="21" x14ac:dyDescent="0.35">
      <c r="A260" s="138">
        <v>2</v>
      </c>
      <c r="B260" s="317" t="s">
        <v>616</v>
      </c>
      <c r="C260" s="139" t="s">
        <v>316</v>
      </c>
      <c r="D260" s="47">
        <v>1</v>
      </c>
      <c r="E260" s="47"/>
      <c r="F260" s="53">
        <v>1</v>
      </c>
      <c r="G260" s="47"/>
      <c r="H260" s="47"/>
      <c r="I260" s="47"/>
      <c r="J260" s="48"/>
      <c r="K260" s="48"/>
      <c r="L260" s="54"/>
      <c r="M260" s="48">
        <v>4</v>
      </c>
      <c r="N260" s="48"/>
      <c r="O260" s="48"/>
      <c r="P260" s="47">
        <v>6</v>
      </c>
      <c r="Q260" s="47"/>
      <c r="R260" s="53">
        <v>5</v>
      </c>
      <c r="S260" s="47"/>
      <c r="T260" s="47"/>
      <c r="U260" s="47"/>
      <c r="V260" s="48"/>
      <c r="W260" s="48"/>
      <c r="X260" s="54"/>
      <c r="Y260" s="48"/>
      <c r="Z260" s="48"/>
      <c r="AA260" s="48"/>
      <c r="AB260" s="47"/>
      <c r="AC260" s="47"/>
      <c r="AD260" s="53"/>
      <c r="AE260" s="47"/>
      <c r="AF260" s="47"/>
      <c r="AG260" s="47"/>
      <c r="AH260" s="48"/>
      <c r="AI260" s="48"/>
      <c r="AJ260" s="54"/>
      <c r="AK260" s="48"/>
      <c r="AL260" s="48"/>
      <c r="AM260" s="48"/>
      <c r="AN260" s="50">
        <v>0</v>
      </c>
      <c r="AO260" s="307">
        <f t="shared" ref="AO260:AO267" si="34">D260+E260+F260+G260+H260+I260+J260+K260+L260+M260+N260+O260+P260+Q260+R260+T260+S260+U260+V260+W260+X260+Y260+Z260+AA260+AB260+AC260+AD260+AE260+AF260+AG260+AH260+AI260+AJ260+AK260+AL260+AM260+AN260</f>
        <v>17</v>
      </c>
    </row>
    <row r="261" spans="1:41" ht="21" x14ac:dyDescent="0.35">
      <c r="A261" s="138">
        <v>3</v>
      </c>
      <c r="B261" s="317" t="s">
        <v>616</v>
      </c>
      <c r="C261" s="139" t="s">
        <v>317</v>
      </c>
      <c r="D261" s="47"/>
      <c r="E261" s="47"/>
      <c r="F261" s="47"/>
      <c r="G261" s="47"/>
      <c r="H261" s="47"/>
      <c r="I261" s="47"/>
      <c r="J261" s="48"/>
      <c r="K261" s="48"/>
      <c r="L261" s="48"/>
      <c r="M261" s="48">
        <v>1</v>
      </c>
      <c r="N261" s="48"/>
      <c r="O261" s="48"/>
      <c r="P261" s="47">
        <v>26</v>
      </c>
      <c r="Q261" s="47"/>
      <c r="R261" s="47">
        <v>1</v>
      </c>
      <c r="S261" s="47"/>
      <c r="T261" s="47"/>
      <c r="U261" s="47"/>
      <c r="V261" s="48"/>
      <c r="W261" s="48"/>
      <c r="X261" s="48">
        <v>6</v>
      </c>
      <c r="Y261" s="48"/>
      <c r="Z261" s="48"/>
      <c r="AA261" s="48"/>
      <c r="AB261" s="47"/>
      <c r="AC261" s="47"/>
      <c r="AD261" s="47"/>
      <c r="AE261" s="47"/>
      <c r="AF261" s="47"/>
      <c r="AG261" s="47"/>
      <c r="AH261" s="48"/>
      <c r="AI261" s="48"/>
      <c r="AJ261" s="48"/>
      <c r="AK261" s="48"/>
      <c r="AL261" s="48"/>
      <c r="AM261" s="48"/>
      <c r="AN261" s="50">
        <v>0</v>
      </c>
      <c r="AO261" s="307">
        <f t="shared" si="34"/>
        <v>34</v>
      </c>
    </row>
    <row r="262" spans="1:41" ht="21" x14ac:dyDescent="0.35">
      <c r="A262" s="138">
        <v>4</v>
      </c>
      <c r="B262" s="317" t="s">
        <v>616</v>
      </c>
      <c r="C262" s="141" t="s">
        <v>318</v>
      </c>
      <c r="D262" s="47"/>
      <c r="E262" s="47"/>
      <c r="F262" s="47"/>
      <c r="G262" s="47"/>
      <c r="H262" s="47"/>
      <c r="I262" s="47"/>
      <c r="J262" s="48"/>
      <c r="K262" s="48"/>
      <c r="L262" s="48"/>
      <c r="M262" s="48"/>
      <c r="N262" s="48"/>
      <c r="O262" s="48"/>
      <c r="P262" s="47">
        <v>6</v>
      </c>
      <c r="Q262" s="47"/>
      <c r="R262" s="47">
        <v>1</v>
      </c>
      <c r="S262" s="47"/>
      <c r="T262" s="47"/>
      <c r="U262" s="47"/>
      <c r="V262" s="48"/>
      <c r="W262" s="48"/>
      <c r="X262" s="48"/>
      <c r="Y262" s="48"/>
      <c r="Z262" s="48"/>
      <c r="AA262" s="48"/>
      <c r="AB262" s="47"/>
      <c r="AC262" s="47"/>
      <c r="AD262" s="47"/>
      <c r="AE262" s="47"/>
      <c r="AF262" s="47"/>
      <c r="AG262" s="47"/>
      <c r="AH262" s="48"/>
      <c r="AI262" s="48"/>
      <c r="AJ262" s="48"/>
      <c r="AK262" s="48"/>
      <c r="AL262" s="48"/>
      <c r="AM262" s="48"/>
      <c r="AN262" s="50">
        <v>0</v>
      </c>
      <c r="AO262" s="307">
        <f t="shared" si="34"/>
        <v>7</v>
      </c>
    </row>
    <row r="263" spans="1:41" ht="21" x14ac:dyDescent="0.35">
      <c r="A263" s="142">
        <v>5</v>
      </c>
      <c r="B263" s="317" t="s">
        <v>616</v>
      </c>
      <c r="C263" s="143" t="s">
        <v>319</v>
      </c>
      <c r="D263" s="47">
        <v>0</v>
      </c>
      <c r="E263" s="47">
        <v>0</v>
      </c>
      <c r="F263" s="47">
        <v>0</v>
      </c>
      <c r="G263" s="47">
        <v>0</v>
      </c>
      <c r="H263" s="47">
        <v>0</v>
      </c>
      <c r="I263" s="47">
        <v>0</v>
      </c>
      <c r="J263" s="48">
        <v>0</v>
      </c>
      <c r="K263" s="48">
        <v>0</v>
      </c>
      <c r="L263" s="48">
        <v>0</v>
      </c>
      <c r="M263" s="48">
        <v>0</v>
      </c>
      <c r="N263" s="48">
        <v>0</v>
      </c>
      <c r="O263" s="48">
        <v>0</v>
      </c>
      <c r="P263" s="47">
        <v>0</v>
      </c>
      <c r="Q263" s="47">
        <v>0</v>
      </c>
      <c r="R263" s="47">
        <v>0</v>
      </c>
      <c r="S263" s="47">
        <v>0</v>
      </c>
      <c r="T263" s="47">
        <v>0</v>
      </c>
      <c r="U263" s="47">
        <v>0</v>
      </c>
      <c r="V263" s="48">
        <v>0</v>
      </c>
      <c r="W263" s="48">
        <v>0</v>
      </c>
      <c r="X263" s="48">
        <v>0</v>
      </c>
      <c r="Y263" s="48">
        <v>0</v>
      </c>
      <c r="Z263" s="48">
        <v>0</v>
      </c>
      <c r="AA263" s="48">
        <v>0</v>
      </c>
      <c r="AB263" s="47">
        <v>0</v>
      </c>
      <c r="AC263" s="47">
        <v>0</v>
      </c>
      <c r="AD263" s="47">
        <v>0</v>
      </c>
      <c r="AE263" s="47">
        <v>0</v>
      </c>
      <c r="AF263" s="47">
        <v>0</v>
      </c>
      <c r="AG263" s="47">
        <v>0</v>
      </c>
      <c r="AH263" s="48">
        <v>0</v>
      </c>
      <c r="AI263" s="48">
        <v>0</v>
      </c>
      <c r="AJ263" s="48">
        <v>0</v>
      </c>
      <c r="AK263" s="48">
        <v>0</v>
      </c>
      <c r="AL263" s="48">
        <v>0</v>
      </c>
      <c r="AM263" s="48">
        <v>0</v>
      </c>
      <c r="AN263" s="50">
        <v>0</v>
      </c>
      <c r="AO263" s="307">
        <f t="shared" si="34"/>
        <v>0</v>
      </c>
    </row>
    <row r="264" spans="1:41" ht="21" x14ac:dyDescent="0.35">
      <c r="A264" s="142">
        <v>6</v>
      </c>
      <c r="B264" s="317" t="s">
        <v>616</v>
      </c>
      <c r="C264" s="143" t="s">
        <v>320</v>
      </c>
      <c r="D264" s="57">
        <v>0</v>
      </c>
      <c r="E264" s="57">
        <v>0</v>
      </c>
      <c r="F264" s="58">
        <v>0</v>
      </c>
      <c r="G264" s="57">
        <v>0</v>
      </c>
      <c r="H264" s="57">
        <v>0</v>
      </c>
      <c r="I264" s="57">
        <v>0</v>
      </c>
      <c r="J264" s="55">
        <v>0</v>
      </c>
      <c r="K264" s="55">
        <v>0</v>
      </c>
      <c r="L264" s="59">
        <v>0</v>
      </c>
      <c r="M264" s="55">
        <v>0</v>
      </c>
      <c r="N264" s="55">
        <v>0</v>
      </c>
      <c r="O264" s="55">
        <v>0</v>
      </c>
      <c r="P264" s="57">
        <v>0</v>
      </c>
      <c r="Q264" s="57">
        <v>0</v>
      </c>
      <c r="R264" s="57">
        <v>0</v>
      </c>
      <c r="S264" s="57">
        <v>0</v>
      </c>
      <c r="T264" s="57">
        <v>0</v>
      </c>
      <c r="U264" s="57">
        <v>0</v>
      </c>
      <c r="V264" s="55">
        <v>0</v>
      </c>
      <c r="W264" s="55">
        <v>0</v>
      </c>
      <c r="X264" s="55">
        <v>0</v>
      </c>
      <c r="Y264" s="55">
        <v>0</v>
      </c>
      <c r="Z264" s="55">
        <v>0</v>
      </c>
      <c r="AA264" s="55">
        <v>0</v>
      </c>
      <c r="AB264" s="57">
        <v>0</v>
      </c>
      <c r="AC264" s="57">
        <v>0</v>
      </c>
      <c r="AD264" s="57">
        <v>0</v>
      </c>
      <c r="AE264" s="57">
        <v>0</v>
      </c>
      <c r="AF264" s="57">
        <v>0</v>
      </c>
      <c r="AG264" s="57">
        <v>0</v>
      </c>
      <c r="AH264" s="55">
        <v>0</v>
      </c>
      <c r="AI264" s="55">
        <v>0</v>
      </c>
      <c r="AJ264" s="55">
        <v>0</v>
      </c>
      <c r="AK264" s="55">
        <v>0</v>
      </c>
      <c r="AL264" s="55">
        <v>0</v>
      </c>
      <c r="AM264" s="55">
        <v>0</v>
      </c>
      <c r="AN264" s="60">
        <v>0</v>
      </c>
      <c r="AO264" s="307">
        <f t="shared" si="34"/>
        <v>0</v>
      </c>
    </row>
    <row r="265" spans="1:41" ht="21" x14ac:dyDescent="0.35">
      <c r="A265" s="142">
        <v>7</v>
      </c>
      <c r="B265" s="317" t="s">
        <v>616</v>
      </c>
      <c r="C265" s="143" t="s">
        <v>321</v>
      </c>
      <c r="D265" s="57">
        <v>8</v>
      </c>
      <c r="E265" s="57">
        <v>4</v>
      </c>
      <c r="F265" s="57">
        <v>2</v>
      </c>
      <c r="G265" s="57"/>
      <c r="H265" s="57"/>
      <c r="I265" s="57">
        <v>1</v>
      </c>
      <c r="J265" s="55"/>
      <c r="K265" s="55"/>
      <c r="L265" s="55">
        <v>3</v>
      </c>
      <c r="M265" s="55">
        <v>20</v>
      </c>
      <c r="N265" s="55"/>
      <c r="O265" s="55"/>
      <c r="P265" s="57">
        <v>27</v>
      </c>
      <c r="Q265" s="57"/>
      <c r="R265" s="57">
        <v>4</v>
      </c>
      <c r="S265" s="57"/>
      <c r="T265" s="57"/>
      <c r="U265" s="57"/>
      <c r="V265" s="55"/>
      <c r="W265" s="55"/>
      <c r="X265" s="55"/>
      <c r="Y265" s="55"/>
      <c r="Z265" s="55"/>
      <c r="AA265" s="55"/>
      <c r="AB265" s="57"/>
      <c r="AC265" s="57"/>
      <c r="AD265" s="57"/>
      <c r="AE265" s="57"/>
      <c r="AF265" s="57"/>
      <c r="AG265" s="57"/>
      <c r="AH265" s="55"/>
      <c r="AI265" s="55"/>
      <c r="AJ265" s="55"/>
      <c r="AK265" s="55"/>
      <c r="AL265" s="55"/>
      <c r="AM265" s="55"/>
      <c r="AN265" s="60">
        <v>0</v>
      </c>
      <c r="AO265" s="307">
        <f t="shared" si="34"/>
        <v>69</v>
      </c>
    </row>
    <row r="266" spans="1:41" ht="21" x14ac:dyDescent="0.35">
      <c r="A266" s="142">
        <v>8</v>
      </c>
      <c r="B266" s="317" t="s">
        <v>616</v>
      </c>
      <c r="C266" s="143" t="s">
        <v>322</v>
      </c>
      <c r="D266" s="57">
        <v>0</v>
      </c>
      <c r="E266" s="57">
        <v>0</v>
      </c>
      <c r="F266" s="58">
        <v>0</v>
      </c>
      <c r="G266" s="57">
        <v>0</v>
      </c>
      <c r="H266" s="57">
        <v>0</v>
      </c>
      <c r="I266" s="57">
        <v>0</v>
      </c>
      <c r="J266" s="55">
        <v>0</v>
      </c>
      <c r="K266" s="55">
        <v>0</v>
      </c>
      <c r="L266" s="59">
        <v>0</v>
      </c>
      <c r="M266" s="55">
        <v>0</v>
      </c>
      <c r="N266" s="55">
        <v>0</v>
      </c>
      <c r="O266" s="55">
        <v>0</v>
      </c>
      <c r="P266" s="57">
        <v>3</v>
      </c>
      <c r="Q266" s="57">
        <v>0</v>
      </c>
      <c r="R266" s="57">
        <v>0</v>
      </c>
      <c r="S266" s="57">
        <v>0</v>
      </c>
      <c r="T266" s="57">
        <v>0</v>
      </c>
      <c r="U266" s="57">
        <v>0</v>
      </c>
      <c r="V266" s="55">
        <v>0</v>
      </c>
      <c r="W266" s="55">
        <v>0</v>
      </c>
      <c r="X266" s="55">
        <v>0</v>
      </c>
      <c r="Y266" s="55">
        <v>0</v>
      </c>
      <c r="Z266" s="55">
        <v>0</v>
      </c>
      <c r="AA266" s="55">
        <v>0</v>
      </c>
      <c r="AB266" s="57">
        <v>0</v>
      </c>
      <c r="AC266" s="57">
        <v>0</v>
      </c>
      <c r="AD266" s="57">
        <v>0</v>
      </c>
      <c r="AE266" s="57">
        <v>0</v>
      </c>
      <c r="AF266" s="57">
        <v>0</v>
      </c>
      <c r="AG266" s="57">
        <v>0</v>
      </c>
      <c r="AH266" s="55">
        <v>0</v>
      </c>
      <c r="AI266" s="55">
        <v>0</v>
      </c>
      <c r="AJ266" s="55">
        <v>0</v>
      </c>
      <c r="AK266" s="55">
        <v>0</v>
      </c>
      <c r="AL266" s="55">
        <v>0</v>
      </c>
      <c r="AM266" s="55">
        <v>0</v>
      </c>
      <c r="AN266" s="60">
        <v>0</v>
      </c>
      <c r="AO266" s="307">
        <f t="shared" si="34"/>
        <v>3</v>
      </c>
    </row>
    <row r="267" spans="1:41" ht="21" x14ac:dyDescent="0.35">
      <c r="A267" s="142">
        <v>9</v>
      </c>
      <c r="B267" s="317" t="s">
        <v>616</v>
      </c>
      <c r="C267" s="143" t="s">
        <v>323</v>
      </c>
      <c r="D267" s="57">
        <v>0</v>
      </c>
      <c r="E267" s="57">
        <v>0</v>
      </c>
      <c r="F267" s="58">
        <v>0</v>
      </c>
      <c r="G267" s="57">
        <v>0</v>
      </c>
      <c r="H267" s="57">
        <v>0</v>
      </c>
      <c r="I267" s="57">
        <v>0</v>
      </c>
      <c r="J267" s="55">
        <v>0</v>
      </c>
      <c r="K267" s="55">
        <v>0</v>
      </c>
      <c r="L267" s="59">
        <v>0</v>
      </c>
      <c r="M267" s="55">
        <v>0</v>
      </c>
      <c r="N267" s="55">
        <v>0</v>
      </c>
      <c r="O267" s="55">
        <v>0</v>
      </c>
      <c r="P267" s="57">
        <v>0</v>
      </c>
      <c r="Q267" s="57">
        <v>0</v>
      </c>
      <c r="R267" s="57">
        <v>0</v>
      </c>
      <c r="S267" s="57">
        <v>0</v>
      </c>
      <c r="T267" s="57">
        <v>0</v>
      </c>
      <c r="U267" s="57">
        <v>0</v>
      </c>
      <c r="V267" s="55">
        <v>0</v>
      </c>
      <c r="W267" s="55">
        <v>0</v>
      </c>
      <c r="X267" s="55">
        <v>0</v>
      </c>
      <c r="Y267" s="55">
        <v>0</v>
      </c>
      <c r="Z267" s="55">
        <v>0</v>
      </c>
      <c r="AA267" s="55">
        <v>0</v>
      </c>
      <c r="AB267" s="57">
        <v>0</v>
      </c>
      <c r="AC267" s="57">
        <v>0</v>
      </c>
      <c r="AD267" s="57">
        <v>0</v>
      </c>
      <c r="AE267" s="57">
        <v>0</v>
      </c>
      <c r="AF267" s="57">
        <v>0</v>
      </c>
      <c r="AG267" s="57">
        <v>0</v>
      </c>
      <c r="AH267" s="55">
        <v>0</v>
      </c>
      <c r="AI267" s="55">
        <v>0</v>
      </c>
      <c r="AJ267" s="55">
        <v>0</v>
      </c>
      <c r="AK267" s="55">
        <v>0</v>
      </c>
      <c r="AL267" s="55">
        <v>0</v>
      </c>
      <c r="AM267" s="55">
        <v>0</v>
      </c>
      <c r="AN267" s="60">
        <v>0</v>
      </c>
      <c r="AO267" s="307">
        <f t="shared" si="34"/>
        <v>0</v>
      </c>
    </row>
  </sheetData>
  <autoFilter ref="B1:B267" xr:uid="{00000000-0001-0000-0200-000000000000}"/>
  <pageMargins left="0.7" right="0.7" top="0.75" bottom="0.75" header="0.3" footer="0.3"/>
  <pageSetup paperSize="9" orientation="portrait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DC25"/>
  <sheetViews>
    <sheetView zoomScale="30" zoomScaleNormal="30" workbookViewId="0">
      <selection activeCell="F24" sqref="F24"/>
    </sheetView>
  </sheetViews>
  <sheetFormatPr defaultRowHeight="15" x14ac:dyDescent="0.25"/>
  <cols>
    <col min="1" max="1" width="8.85546875" customWidth="1"/>
    <col min="2" max="2" width="29.140625" customWidth="1"/>
    <col min="3" max="3" width="14.85546875" customWidth="1"/>
    <col min="4" max="5" width="11.7109375" customWidth="1"/>
    <col min="6" max="6" width="12.140625" bestFit="1" customWidth="1"/>
    <col min="7" max="7" width="13.28515625" customWidth="1"/>
    <col min="8" max="8" width="14.85546875" customWidth="1"/>
    <col min="9" max="9" width="13.7109375" customWidth="1"/>
    <col min="10" max="10" width="12.140625" bestFit="1" customWidth="1"/>
    <col min="11" max="11" width="12.85546875" customWidth="1"/>
    <col min="12" max="12" width="14.140625" customWidth="1"/>
    <col min="13" max="13" width="12.140625" customWidth="1"/>
    <col min="14" max="14" width="12.140625" bestFit="1" customWidth="1"/>
    <col min="15" max="17" width="16.140625" bestFit="1" customWidth="1"/>
    <col min="18" max="18" width="12.140625" bestFit="1" customWidth="1"/>
    <col min="19" max="19" width="14.5703125" bestFit="1" customWidth="1"/>
    <col min="20" max="21" width="16.140625" bestFit="1" customWidth="1"/>
    <col min="22" max="22" width="14.140625" bestFit="1" customWidth="1"/>
    <col min="23" max="23" width="14.5703125" bestFit="1" customWidth="1"/>
    <col min="24" max="25" width="16.140625" bestFit="1" customWidth="1"/>
    <col min="26" max="26" width="13.42578125" bestFit="1" customWidth="1"/>
    <col min="27" max="28" width="16.140625" bestFit="1" customWidth="1"/>
    <col min="29" max="29" width="32.7109375" customWidth="1"/>
    <col min="30" max="30" width="18" bestFit="1" customWidth="1"/>
    <col min="31" max="32" width="20.7109375" bestFit="1" customWidth="1"/>
    <col min="33" max="33" width="11.85546875" customWidth="1"/>
    <col min="34" max="34" width="14.5703125" bestFit="1" customWidth="1"/>
    <col min="35" max="35" width="18" bestFit="1" customWidth="1"/>
  </cols>
  <sheetData>
    <row r="2" spans="1:107" ht="21" x14ac:dyDescent="0.35">
      <c r="A2" s="23"/>
      <c r="B2" s="23" t="s">
        <v>626</v>
      </c>
      <c r="C2" s="23" t="s">
        <v>326</v>
      </c>
      <c r="D2" s="23"/>
      <c r="E2" s="23"/>
      <c r="F2" s="23"/>
      <c r="G2" s="23" t="s">
        <v>327</v>
      </c>
      <c r="H2" s="23"/>
      <c r="I2" s="23"/>
      <c r="J2" s="23"/>
      <c r="K2" s="23" t="s">
        <v>328</v>
      </c>
      <c r="L2" s="23"/>
      <c r="M2" s="23"/>
      <c r="N2" s="23"/>
      <c r="O2" s="23" t="s">
        <v>329</v>
      </c>
      <c r="P2" s="23"/>
      <c r="Q2" s="23"/>
      <c r="R2" s="23"/>
      <c r="S2" s="23" t="s">
        <v>330</v>
      </c>
      <c r="T2" s="23"/>
      <c r="U2" s="23"/>
      <c r="V2" s="23"/>
      <c r="W2" s="23" t="s">
        <v>331</v>
      </c>
      <c r="X2" s="23"/>
      <c r="Y2" s="23"/>
      <c r="Z2" s="23"/>
      <c r="AA2" s="23" t="s">
        <v>332</v>
      </c>
      <c r="AB2" s="23"/>
      <c r="AC2" s="23"/>
      <c r="AD2" s="23"/>
      <c r="AE2" s="23"/>
      <c r="AF2" s="23"/>
      <c r="AG2" s="23" t="s">
        <v>333</v>
      </c>
      <c r="AH2" s="23"/>
      <c r="AI2" s="23"/>
    </row>
    <row r="3" spans="1:107" ht="21" x14ac:dyDescent="0.35">
      <c r="A3" s="23" t="s">
        <v>627</v>
      </c>
      <c r="B3" s="23" t="s">
        <v>334</v>
      </c>
      <c r="C3" s="23" t="s">
        <v>335</v>
      </c>
      <c r="D3" s="23" t="s">
        <v>324</v>
      </c>
      <c r="E3" s="23" t="s">
        <v>336</v>
      </c>
      <c r="F3" s="23" t="s">
        <v>337</v>
      </c>
      <c r="G3" s="23" t="s">
        <v>335</v>
      </c>
      <c r="H3" s="23" t="s">
        <v>324</v>
      </c>
      <c r="I3" s="23" t="s">
        <v>336</v>
      </c>
      <c r="J3" s="23" t="s">
        <v>337</v>
      </c>
      <c r="K3" s="23" t="s">
        <v>335</v>
      </c>
      <c r="L3" s="23" t="s">
        <v>324</v>
      </c>
      <c r="M3" s="23" t="s">
        <v>336</v>
      </c>
      <c r="N3" s="23" t="s">
        <v>337</v>
      </c>
      <c r="O3" s="23" t="s">
        <v>335</v>
      </c>
      <c r="P3" s="23" t="s">
        <v>324</v>
      </c>
      <c r="Q3" s="23" t="s">
        <v>336</v>
      </c>
      <c r="R3" s="23" t="s">
        <v>337</v>
      </c>
      <c r="S3" s="23" t="s">
        <v>335</v>
      </c>
      <c r="T3" s="23" t="s">
        <v>324</v>
      </c>
      <c r="U3" s="23" t="s">
        <v>336</v>
      </c>
      <c r="V3" s="23" t="s">
        <v>337</v>
      </c>
      <c r="W3" s="23" t="s">
        <v>335</v>
      </c>
      <c r="X3" s="23" t="s">
        <v>324</v>
      </c>
      <c r="Y3" s="23" t="s">
        <v>336</v>
      </c>
      <c r="Z3" s="23" t="s">
        <v>337</v>
      </c>
      <c r="AA3" s="23" t="s">
        <v>335</v>
      </c>
      <c r="AB3" s="23" t="s">
        <v>324</v>
      </c>
      <c r="AC3" s="23" t="s">
        <v>336</v>
      </c>
      <c r="AD3" s="23" t="s">
        <v>337</v>
      </c>
      <c r="AE3" s="23" t="s">
        <v>338</v>
      </c>
      <c r="AF3" s="23" t="s">
        <v>339</v>
      </c>
      <c r="AG3" s="23" t="s">
        <v>335</v>
      </c>
      <c r="AH3" s="23" t="s">
        <v>324</v>
      </c>
      <c r="AI3" s="23" t="s">
        <v>336</v>
      </c>
    </row>
    <row r="4" spans="1:107" ht="21" x14ac:dyDescent="0.35">
      <c r="A4" s="24"/>
      <c r="B4" s="299" t="s">
        <v>628</v>
      </c>
      <c r="C4" s="25">
        <v>928</v>
      </c>
      <c r="D4" s="25">
        <v>925</v>
      </c>
      <c r="E4" s="25">
        <v>1853</v>
      </c>
      <c r="F4" s="25">
        <v>42</v>
      </c>
      <c r="G4" s="144">
        <v>754</v>
      </c>
      <c r="H4" s="144">
        <v>793</v>
      </c>
      <c r="I4" s="144">
        <v>1547</v>
      </c>
      <c r="J4" s="144">
        <v>36</v>
      </c>
      <c r="K4" s="25">
        <v>684</v>
      </c>
      <c r="L4" s="25">
        <v>832</v>
      </c>
      <c r="M4" s="25">
        <v>1516</v>
      </c>
      <c r="N4" s="25">
        <v>38</v>
      </c>
      <c r="O4" s="144">
        <v>547</v>
      </c>
      <c r="P4" s="144">
        <v>697</v>
      </c>
      <c r="Q4" s="144">
        <v>1244</v>
      </c>
      <c r="R4" s="144">
        <v>39</v>
      </c>
      <c r="S4" s="25">
        <v>518</v>
      </c>
      <c r="T4" s="25">
        <v>676</v>
      </c>
      <c r="U4" s="25">
        <v>1194</v>
      </c>
      <c r="V4" s="25">
        <v>35</v>
      </c>
      <c r="W4" s="144">
        <v>473</v>
      </c>
      <c r="X4" s="144">
        <v>620</v>
      </c>
      <c r="Y4" s="144">
        <v>1093</v>
      </c>
      <c r="Z4" s="144">
        <v>36</v>
      </c>
      <c r="AA4" s="25">
        <v>3904</v>
      </c>
      <c r="AB4" s="25">
        <v>5471</v>
      </c>
      <c r="AC4" s="25">
        <v>9375</v>
      </c>
      <c r="AD4" s="25">
        <v>226</v>
      </c>
      <c r="AE4" s="145">
        <v>7610</v>
      </c>
      <c r="AF4" s="145">
        <v>1765</v>
      </c>
      <c r="AG4" s="146">
        <v>92</v>
      </c>
      <c r="AH4" s="146">
        <v>383</v>
      </c>
      <c r="AI4" s="146">
        <v>475</v>
      </c>
    </row>
    <row r="5" spans="1:107" ht="21" x14ac:dyDescent="0.35">
      <c r="A5" s="24"/>
      <c r="B5" s="24" t="s">
        <v>629</v>
      </c>
      <c r="C5" s="25">
        <v>399</v>
      </c>
      <c r="D5" s="25">
        <v>423</v>
      </c>
      <c r="E5" s="25">
        <v>822</v>
      </c>
      <c r="F5" s="25">
        <v>18</v>
      </c>
      <c r="G5" s="144">
        <v>374</v>
      </c>
      <c r="H5" s="144">
        <v>498</v>
      </c>
      <c r="I5" s="144">
        <v>872</v>
      </c>
      <c r="J5" s="144">
        <v>18</v>
      </c>
      <c r="K5" s="25">
        <v>391</v>
      </c>
      <c r="L5" s="25">
        <v>538</v>
      </c>
      <c r="M5" s="25">
        <v>929</v>
      </c>
      <c r="N5" s="25">
        <v>18</v>
      </c>
      <c r="O5" s="144">
        <v>273</v>
      </c>
      <c r="P5" s="144">
        <v>477</v>
      </c>
      <c r="Q5" s="144">
        <v>750</v>
      </c>
      <c r="R5" s="144">
        <v>16</v>
      </c>
      <c r="S5" s="25">
        <v>277</v>
      </c>
      <c r="T5" s="25">
        <v>390</v>
      </c>
      <c r="U5" s="25">
        <v>667</v>
      </c>
      <c r="V5" s="25">
        <v>15</v>
      </c>
      <c r="W5" s="144">
        <v>258</v>
      </c>
      <c r="X5" s="144">
        <v>409</v>
      </c>
      <c r="Y5" s="144">
        <v>667</v>
      </c>
      <c r="Z5" s="144">
        <v>13</v>
      </c>
      <c r="AA5" s="25">
        <v>1972</v>
      </c>
      <c r="AB5" s="25">
        <v>2735</v>
      </c>
      <c r="AC5" s="25">
        <v>4707</v>
      </c>
      <c r="AD5" s="25">
        <v>98</v>
      </c>
      <c r="AE5" s="145">
        <v>4079</v>
      </c>
      <c r="AF5" s="145">
        <v>628</v>
      </c>
      <c r="AG5" s="146">
        <v>83</v>
      </c>
      <c r="AH5" s="146">
        <v>223</v>
      </c>
      <c r="AI5" s="146">
        <v>306</v>
      </c>
    </row>
    <row r="6" spans="1:107" ht="21" x14ac:dyDescent="0.35">
      <c r="A6" s="24"/>
      <c r="B6" s="24" t="s">
        <v>630</v>
      </c>
      <c r="C6" s="25">
        <v>135</v>
      </c>
      <c r="D6" s="25">
        <v>117</v>
      </c>
      <c r="E6" s="25">
        <v>252</v>
      </c>
      <c r="F6" s="25">
        <v>6</v>
      </c>
      <c r="G6" s="144">
        <v>75</v>
      </c>
      <c r="H6" s="144">
        <v>89</v>
      </c>
      <c r="I6" s="144">
        <v>164</v>
      </c>
      <c r="J6" s="144">
        <v>7</v>
      </c>
      <c r="K6" s="25">
        <v>118</v>
      </c>
      <c r="L6" s="25">
        <v>118</v>
      </c>
      <c r="M6" s="25">
        <v>236</v>
      </c>
      <c r="N6" s="25">
        <v>8</v>
      </c>
      <c r="O6" s="144">
        <v>50</v>
      </c>
      <c r="P6" s="144">
        <v>63</v>
      </c>
      <c r="Q6" s="144">
        <v>113</v>
      </c>
      <c r="R6" s="144">
        <v>6</v>
      </c>
      <c r="S6" s="25">
        <v>29</v>
      </c>
      <c r="T6" s="25">
        <v>35</v>
      </c>
      <c r="U6" s="25">
        <v>64</v>
      </c>
      <c r="V6" s="25">
        <v>6</v>
      </c>
      <c r="W6" s="144">
        <v>102</v>
      </c>
      <c r="X6" s="144">
        <v>158</v>
      </c>
      <c r="Y6" s="144">
        <v>260</v>
      </c>
      <c r="Z6" s="144">
        <v>11</v>
      </c>
      <c r="AA6" s="25">
        <v>509</v>
      </c>
      <c r="AB6" s="25">
        <v>580</v>
      </c>
      <c r="AC6" s="25">
        <v>1089</v>
      </c>
      <c r="AD6" s="25">
        <v>44</v>
      </c>
      <c r="AE6" s="145">
        <v>1046</v>
      </c>
      <c r="AF6" s="145">
        <v>43</v>
      </c>
      <c r="AG6" s="146">
        <v>49</v>
      </c>
      <c r="AH6" s="146">
        <v>48</v>
      </c>
      <c r="AI6" s="146">
        <v>97</v>
      </c>
    </row>
    <row r="7" spans="1:107" ht="21" x14ac:dyDescent="0.35">
      <c r="A7" s="24"/>
      <c r="B7" s="24" t="s">
        <v>631</v>
      </c>
      <c r="C7" s="25">
        <v>777</v>
      </c>
      <c r="D7" s="25">
        <v>666</v>
      </c>
      <c r="E7" s="25">
        <v>1443</v>
      </c>
      <c r="F7" s="25">
        <v>39</v>
      </c>
      <c r="G7" s="144">
        <v>740</v>
      </c>
      <c r="H7" s="144">
        <v>552</v>
      </c>
      <c r="I7" s="144">
        <v>1292</v>
      </c>
      <c r="J7" s="144">
        <v>37</v>
      </c>
      <c r="K7" s="25">
        <v>719</v>
      </c>
      <c r="L7" s="25">
        <v>551</v>
      </c>
      <c r="M7" s="25">
        <v>1270</v>
      </c>
      <c r="N7" s="25">
        <v>39</v>
      </c>
      <c r="O7" s="144">
        <v>613</v>
      </c>
      <c r="P7" s="144">
        <v>935</v>
      </c>
      <c r="Q7" s="144">
        <v>1548</v>
      </c>
      <c r="R7" s="144">
        <v>41</v>
      </c>
      <c r="S7" s="25">
        <v>593</v>
      </c>
      <c r="T7" s="25">
        <v>783</v>
      </c>
      <c r="U7" s="25">
        <v>1376</v>
      </c>
      <c r="V7" s="25">
        <v>41</v>
      </c>
      <c r="W7" s="144">
        <v>469</v>
      </c>
      <c r="X7" s="144">
        <v>681</v>
      </c>
      <c r="Y7" s="144">
        <v>1150</v>
      </c>
      <c r="Z7" s="144">
        <v>36</v>
      </c>
      <c r="AA7" s="25">
        <v>3911</v>
      </c>
      <c r="AB7" s="25">
        <v>4168</v>
      </c>
      <c r="AC7" s="25">
        <v>8079</v>
      </c>
      <c r="AD7" s="25">
        <v>233</v>
      </c>
      <c r="AE7" s="145">
        <v>6190</v>
      </c>
      <c r="AF7" s="145">
        <v>1889</v>
      </c>
      <c r="AG7" s="146">
        <v>59</v>
      </c>
      <c r="AH7" s="146">
        <v>274</v>
      </c>
      <c r="AI7" s="146">
        <v>334</v>
      </c>
    </row>
    <row r="8" spans="1:107" ht="21" x14ac:dyDescent="0.35">
      <c r="A8" s="24"/>
      <c r="B8" s="24" t="s">
        <v>632</v>
      </c>
      <c r="C8" s="25">
        <v>330</v>
      </c>
      <c r="D8" s="25">
        <v>344</v>
      </c>
      <c r="E8" s="25">
        <v>674</v>
      </c>
      <c r="F8" s="25">
        <v>21</v>
      </c>
      <c r="G8" s="144">
        <v>318</v>
      </c>
      <c r="H8" s="144">
        <v>308</v>
      </c>
      <c r="I8" s="144">
        <v>626</v>
      </c>
      <c r="J8" s="144">
        <v>19</v>
      </c>
      <c r="K8" s="25">
        <v>289</v>
      </c>
      <c r="L8" s="25">
        <v>338</v>
      </c>
      <c r="M8" s="25">
        <v>627</v>
      </c>
      <c r="N8" s="25">
        <v>17</v>
      </c>
      <c r="O8" s="144">
        <v>192</v>
      </c>
      <c r="P8" s="144">
        <v>257</v>
      </c>
      <c r="Q8" s="144">
        <v>449</v>
      </c>
      <c r="R8" s="144">
        <v>16</v>
      </c>
      <c r="S8" s="25">
        <v>229</v>
      </c>
      <c r="T8" s="25">
        <v>269</v>
      </c>
      <c r="U8" s="25">
        <v>498</v>
      </c>
      <c r="V8" s="25">
        <v>16</v>
      </c>
      <c r="W8" s="144">
        <v>237</v>
      </c>
      <c r="X8" s="144">
        <v>254</v>
      </c>
      <c r="Y8" s="144">
        <v>491</v>
      </c>
      <c r="Z8" s="144">
        <v>17</v>
      </c>
      <c r="AA8" s="25">
        <v>1595</v>
      </c>
      <c r="AB8" s="25">
        <v>1770</v>
      </c>
      <c r="AC8" s="25">
        <v>3365</v>
      </c>
      <c r="AD8" s="25">
        <v>106</v>
      </c>
      <c r="AE8" s="145">
        <v>2748</v>
      </c>
      <c r="AF8" s="145">
        <v>617</v>
      </c>
      <c r="AG8" s="146">
        <v>32</v>
      </c>
      <c r="AH8" s="146">
        <v>131</v>
      </c>
      <c r="AI8" s="146">
        <v>163</v>
      </c>
    </row>
    <row r="9" spans="1:107" ht="21" x14ac:dyDescent="0.35">
      <c r="A9" s="24"/>
      <c r="B9" s="24" t="s">
        <v>633</v>
      </c>
      <c r="C9" s="25">
        <v>1230</v>
      </c>
      <c r="D9" s="25">
        <v>1638</v>
      </c>
      <c r="E9" s="25">
        <v>2868</v>
      </c>
      <c r="F9" s="25">
        <v>70</v>
      </c>
      <c r="G9" s="144">
        <v>1051</v>
      </c>
      <c r="H9" s="144">
        <v>1557</v>
      </c>
      <c r="I9" s="144">
        <v>2608</v>
      </c>
      <c r="J9" s="144">
        <v>67</v>
      </c>
      <c r="K9" s="25">
        <v>1039</v>
      </c>
      <c r="L9" s="25">
        <v>1599</v>
      </c>
      <c r="M9" s="25">
        <v>2638</v>
      </c>
      <c r="N9" s="25">
        <v>68</v>
      </c>
      <c r="O9" s="144">
        <v>1071</v>
      </c>
      <c r="P9" s="144">
        <v>1543</v>
      </c>
      <c r="Q9" s="144">
        <v>2614</v>
      </c>
      <c r="R9" s="144">
        <v>64</v>
      </c>
      <c r="S9" s="25">
        <v>807</v>
      </c>
      <c r="T9" s="25">
        <v>1383</v>
      </c>
      <c r="U9" s="25">
        <v>2190</v>
      </c>
      <c r="V9" s="25">
        <v>61</v>
      </c>
      <c r="W9" s="144">
        <v>679</v>
      </c>
      <c r="X9" s="144">
        <v>1175</v>
      </c>
      <c r="Y9" s="144">
        <v>1854</v>
      </c>
      <c r="Z9" s="144">
        <v>58</v>
      </c>
      <c r="AA9" s="25">
        <v>5877</v>
      </c>
      <c r="AB9" s="25">
        <v>8895</v>
      </c>
      <c r="AC9" s="25">
        <v>14772</v>
      </c>
      <c r="AD9" s="25">
        <v>368</v>
      </c>
      <c r="AE9" s="145">
        <v>9417</v>
      </c>
      <c r="AF9" s="145">
        <v>5355</v>
      </c>
      <c r="AG9" s="146">
        <v>62</v>
      </c>
      <c r="AH9" s="146">
        <v>558</v>
      </c>
      <c r="AI9" s="146">
        <v>620</v>
      </c>
    </row>
    <row r="10" spans="1:107" ht="21" x14ac:dyDescent="0.35">
      <c r="A10" s="24"/>
      <c r="B10" s="24" t="s">
        <v>634</v>
      </c>
      <c r="C10" s="25">
        <v>208</v>
      </c>
      <c r="D10" s="25">
        <v>193</v>
      </c>
      <c r="E10" s="25">
        <v>401</v>
      </c>
      <c r="F10" s="25">
        <v>14</v>
      </c>
      <c r="G10" s="144">
        <v>188</v>
      </c>
      <c r="H10" s="144">
        <v>165</v>
      </c>
      <c r="I10" s="144">
        <v>353</v>
      </c>
      <c r="J10" s="144">
        <v>12</v>
      </c>
      <c r="K10" s="25">
        <v>175</v>
      </c>
      <c r="L10" s="25">
        <v>183</v>
      </c>
      <c r="M10" s="25">
        <v>358</v>
      </c>
      <c r="N10" s="25">
        <v>12</v>
      </c>
      <c r="O10" s="144">
        <v>131</v>
      </c>
      <c r="P10" s="144">
        <v>129</v>
      </c>
      <c r="Q10" s="144">
        <v>260</v>
      </c>
      <c r="R10" s="144">
        <v>10</v>
      </c>
      <c r="S10" s="25">
        <v>120</v>
      </c>
      <c r="T10" s="25">
        <v>154</v>
      </c>
      <c r="U10" s="25">
        <v>274</v>
      </c>
      <c r="V10" s="25">
        <v>11</v>
      </c>
      <c r="W10" s="144">
        <v>129</v>
      </c>
      <c r="X10" s="144">
        <v>153</v>
      </c>
      <c r="Y10" s="144">
        <v>282</v>
      </c>
      <c r="Z10" s="144">
        <v>10</v>
      </c>
      <c r="AA10" s="25">
        <v>951</v>
      </c>
      <c r="AB10" s="25">
        <v>977</v>
      </c>
      <c r="AC10" s="25">
        <v>1928</v>
      </c>
      <c r="AD10" s="25">
        <v>69</v>
      </c>
      <c r="AE10" s="145">
        <v>1784</v>
      </c>
      <c r="AF10" s="145">
        <v>144</v>
      </c>
      <c r="AG10" s="146">
        <v>71</v>
      </c>
      <c r="AH10" s="146">
        <v>83</v>
      </c>
      <c r="AI10" s="146">
        <v>154</v>
      </c>
    </row>
    <row r="11" spans="1:107" ht="21" x14ac:dyDescent="0.35">
      <c r="A11" s="24"/>
      <c r="B11" s="24" t="s">
        <v>635</v>
      </c>
      <c r="C11" s="25">
        <v>317</v>
      </c>
      <c r="D11" s="25">
        <v>526</v>
      </c>
      <c r="E11" s="25">
        <v>843</v>
      </c>
      <c r="F11" s="25">
        <v>15</v>
      </c>
      <c r="G11" s="144">
        <v>296</v>
      </c>
      <c r="H11" s="144">
        <v>490</v>
      </c>
      <c r="I11" s="144">
        <v>786</v>
      </c>
      <c r="J11" s="144">
        <v>15</v>
      </c>
      <c r="K11" s="25">
        <v>325</v>
      </c>
      <c r="L11" s="25">
        <v>551</v>
      </c>
      <c r="M11" s="25">
        <v>876</v>
      </c>
      <c r="N11" s="25">
        <v>15</v>
      </c>
      <c r="O11" s="144">
        <v>215</v>
      </c>
      <c r="P11" s="144">
        <v>497</v>
      </c>
      <c r="Q11" s="144">
        <v>712</v>
      </c>
      <c r="R11" s="144">
        <v>14</v>
      </c>
      <c r="S11" s="25">
        <v>201</v>
      </c>
      <c r="T11" s="25">
        <v>402</v>
      </c>
      <c r="U11" s="25">
        <v>603</v>
      </c>
      <c r="V11" s="25">
        <v>14</v>
      </c>
      <c r="W11" s="144">
        <v>208</v>
      </c>
      <c r="X11" s="144">
        <v>471</v>
      </c>
      <c r="Y11" s="144">
        <v>679</v>
      </c>
      <c r="Z11" s="144">
        <v>14</v>
      </c>
      <c r="AA11" s="25">
        <v>1562</v>
      </c>
      <c r="AB11" s="25">
        <v>2937</v>
      </c>
      <c r="AC11" s="25">
        <v>4499</v>
      </c>
      <c r="AD11" s="25">
        <v>87</v>
      </c>
      <c r="AE11" s="145">
        <v>3344</v>
      </c>
      <c r="AF11" s="145">
        <v>1155</v>
      </c>
      <c r="AG11" s="146">
        <v>26</v>
      </c>
      <c r="AH11" s="146">
        <v>129</v>
      </c>
      <c r="AI11" s="146">
        <v>155</v>
      </c>
    </row>
    <row r="12" spans="1:107" ht="21" x14ac:dyDescent="0.35">
      <c r="A12" s="24"/>
      <c r="B12" s="33" t="s">
        <v>636</v>
      </c>
      <c r="C12" s="25">
        <v>527</v>
      </c>
      <c r="D12" s="25">
        <v>429</v>
      </c>
      <c r="E12" s="25">
        <v>956</v>
      </c>
      <c r="F12" s="25">
        <v>22</v>
      </c>
      <c r="G12" s="144">
        <v>461</v>
      </c>
      <c r="H12" s="144">
        <v>390</v>
      </c>
      <c r="I12" s="144">
        <v>851</v>
      </c>
      <c r="J12" s="144">
        <v>20</v>
      </c>
      <c r="K12" s="25">
        <v>417</v>
      </c>
      <c r="L12" s="25">
        <v>442</v>
      </c>
      <c r="M12" s="25">
        <v>859</v>
      </c>
      <c r="N12" s="25">
        <v>21</v>
      </c>
      <c r="O12" s="144">
        <v>361</v>
      </c>
      <c r="P12" s="144">
        <v>398</v>
      </c>
      <c r="Q12" s="144">
        <v>759</v>
      </c>
      <c r="R12" s="144">
        <v>18</v>
      </c>
      <c r="S12" s="25">
        <v>288</v>
      </c>
      <c r="T12" s="25">
        <v>401</v>
      </c>
      <c r="U12" s="25">
        <v>689</v>
      </c>
      <c r="V12" s="25">
        <v>19</v>
      </c>
      <c r="W12" s="144">
        <v>321</v>
      </c>
      <c r="X12" s="144">
        <v>383</v>
      </c>
      <c r="Y12" s="144">
        <v>704</v>
      </c>
      <c r="Z12" s="144">
        <v>18</v>
      </c>
      <c r="AA12" s="25">
        <v>2375</v>
      </c>
      <c r="AB12" s="25">
        <v>2443</v>
      </c>
      <c r="AC12" s="25">
        <v>4818</v>
      </c>
      <c r="AD12" s="25">
        <v>118</v>
      </c>
      <c r="AE12" s="145">
        <v>3296</v>
      </c>
      <c r="AF12" s="145">
        <v>1522</v>
      </c>
      <c r="AG12" s="146">
        <v>27</v>
      </c>
      <c r="AH12" s="146">
        <v>208</v>
      </c>
      <c r="AI12" s="146">
        <v>235</v>
      </c>
    </row>
    <row r="13" spans="1:107" ht="21" x14ac:dyDescent="0.35">
      <c r="A13" s="24"/>
      <c r="B13" s="33" t="s">
        <v>637</v>
      </c>
      <c r="C13" s="25">
        <v>1047</v>
      </c>
      <c r="D13" s="25">
        <v>1282</v>
      </c>
      <c r="E13" s="25">
        <v>2329</v>
      </c>
      <c r="F13" s="25">
        <v>55</v>
      </c>
      <c r="G13" s="144">
        <v>794</v>
      </c>
      <c r="H13" s="144">
        <v>1035</v>
      </c>
      <c r="I13" s="144">
        <v>1847</v>
      </c>
      <c r="J13" s="144">
        <v>46</v>
      </c>
      <c r="K13" s="25">
        <v>876</v>
      </c>
      <c r="L13" s="25">
        <v>993</v>
      </c>
      <c r="M13" s="25">
        <v>1890</v>
      </c>
      <c r="N13" s="25">
        <v>46</v>
      </c>
      <c r="O13" s="144">
        <v>724</v>
      </c>
      <c r="P13" s="144">
        <v>990</v>
      </c>
      <c r="Q13" s="144">
        <v>1775</v>
      </c>
      <c r="R13" s="144">
        <v>43</v>
      </c>
      <c r="S13" s="25">
        <v>547</v>
      </c>
      <c r="T13" s="25">
        <v>947</v>
      </c>
      <c r="U13" s="25">
        <v>1496</v>
      </c>
      <c r="V13" s="25">
        <v>43</v>
      </c>
      <c r="W13" s="144">
        <v>619</v>
      </c>
      <c r="X13" s="144">
        <v>917</v>
      </c>
      <c r="Y13" s="144">
        <v>1536</v>
      </c>
      <c r="Z13" s="144">
        <v>40</v>
      </c>
      <c r="AA13" s="25">
        <v>4701</v>
      </c>
      <c r="AB13" s="25">
        <v>6245</v>
      </c>
      <c r="AC13" s="25">
        <v>10946</v>
      </c>
      <c r="AD13" s="25">
        <v>273</v>
      </c>
      <c r="AE13" s="145">
        <v>5534</v>
      </c>
      <c r="AF13" s="145">
        <v>5412</v>
      </c>
      <c r="AG13" s="146">
        <v>65</v>
      </c>
      <c r="AH13" s="146">
        <v>441</v>
      </c>
      <c r="AI13" s="146">
        <v>506</v>
      </c>
    </row>
    <row r="14" spans="1:107" s="298" customFormat="1" ht="21" x14ac:dyDescent="0.35">
      <c r="A14" s="302"/>
      <c r="B14" s="299" t="s">
        <v>638</v>
      </c>
      <c r="C14" s="25">
        <v>608</v>
      </c>
      <c r="D14" s="25">
        <v>732</v>
      </c>
      <c r="E14" s="25">
        <v>1340</v>
      </c>
      <c r="F14" s="25">
        <v>33</v>
      </c>
      <c r="G14" s="301">
        <v>521</v>
      </c>
      <c r="H14" s="301">
        <v>664</v>
      </c>
      <c r="I14" s="301">
        <v>1185</v>
      </c>
      <c r="J14" s="301">
        <v>32</v>
      </c>
      <c r="K14" s="25">
        <v>507</v>
      </c>
      <c r="L14" s="25">
        <v>771</v>
      </c>
      <c r="M14" s="25">
        <v>1278</v>
      </c>
      <c r="N14" s="25">
        <v>33</v>
      </c>
      <c r="O14" s="301">
        <v>462</v>
      </c>
      <c r="P14" s="301">
        <v>671</v>
      </c>
      <c r="Q14" s="301">
        <v>1133</v>
      </c>
      <c r="R14" s="301">
        <v>31</v>
      </c>
      <c r="S14" s="25">
        <v>367</v>
      </c>
      <c r="T14" s="25">
        <v>627</v>
      </c>
      <c r="U14" s="25">
        <v>911</v>
      </c>
      <c r="V14" s="25">
        <v>30</v>
      </c>
      <c r="W14" s="301">
        <v>405</v>
      </c>
      <c r="X14" s="301">
        <v>626</v>
      </c>
      <c r="Y14" s="301">
        <v>1031</v>
      </c>
      <c r="Z14" s="301">
        <v>30</v>
      </c>
      <c r="AA14" s="25">
        <v>2870</v>
      </c>
      <c r="AB14" s="25">
        <v>4091</v>
      </c>
      <c r="AC14" s="25">
        <v>6961</v>
      </c>
      <c r="AD14" s="25">
        <v>189</v>
      </c>
      <c r="AE14" s="145">
        <v>4273</v>
      </c>
      <c r="AF14" s="145">
        <v>2688</v>
      </c>
      <c r="AG14" s="146">
        <v>41</v>
      </c>
      <c r="AH14" s="146">
        <v>222</v>
      </c>
      <c r="AI14" s="146">
        <v>226</v>
      </c>
      <c r="AJ14" s="303"/>
      <c r="AK14" s="303"/>
      <c r="AL14" s="303"/>
      <c r="AM14" s="303"/>
      <c r="AN14" s="303"/>
      <c r="AO14" s="303"/>
      <c r="AP14" s="303"/>
      <c r="AQ14" s="303"/>
      <c r="AR14" s="303"/>
      <c r="AS14" s="303"/>
      <c r="AT14" s="303"/>
      <c r="AU14" s="303"/>
      <c r="AV14" s="303"/>
      <c r="AW14" s="303"/>
      <c r="AX14" s="303"/>
      <c r="AY14" s="303"/>
      <c r="AZ14" s="303"/>
      <c r="BA14" s="303"/>
      <c r="BB14" s="303"/>
      <c r="BC14" s="303"/>
      <c r="BD14" s="303"/>
      <c r="BE14" s="303"/>
      <c r="BF14" s="303"/>
      <c r="BG14" s="303"/>
      <c r="BH14" s="303"/>
      <c r="BI14" s="303"/>
      <c r="BJ14" s="303"/>
      <c r="BK14" s="303"/>
      <c r="BL14" s="303"/>
      <c r="BM14" s="303"/>
      <c r="BN14" s="303"/>
      <c r="BO14" s="303"/>
      <c r="BP14" s="303"/>
      <c r="BQ14" s="303"/>
      <c r="BR14" s="303"/>
      <c r="BS14" s="303"/>
      <c r="BT14" s="303"/>
      <c r="BU14" s="303"/>
      <c r="BV14" s="303"/>
      <c r="BW14" s="303"/>
      <c r="BX14" s="303"/>
      <c r="BY14" s="303"/>
      <c r="BZ14" s="303"/>
      <c r="CA14" s="303"/>
      <c r="CB14" s="303"/>
      <c r="CC14" s="303"/>
      <c r="CD14" s="303"/>
      <c r="CE14" s="303"/>
      <c r="CF14" s="303"/>
      <c r="CG14" s="303"/>
      <c r="CH14" s="303"/>
      <c r="CI14" s="303"/>
      <c r="CJ14" s="303"/>
      <c r="CK14" s="303"/>
      <c r="CL14" s="303"/>
      <c r="CM14" s="303"/>
      <c r="CN14" s="303"/>
      <c r="CO14" s="303"/>
      <c r="CP14" s="303"/>
      <c r="CQ14" s="303"/>
      <c r="CR14" s="303"/>
      <c r="CS14" s="303"/>
      <c r="CT14" s="303"/>
      <c r="CU14" s="303"/>
      <c r="CV14" s="303"/>
      <c r="CW14" s="303"/>
      <c r="CX14" s="303"/>
      <c r="CY14" s="303"/>
      <c r="CZ14" s="303"/>
      <c r="DA14" s="303"/>
      <c r="DB14" s="303"/>
      <c r="DC14" s="303"/>
    </row>
    <row r="15" spans="1:107" ht="21" x14ac:dyDescent="0.35">
      <c r="A15" s="24"/>
      <c r="B15" s="24" t="s">
        <v>639</v>
      </c>
      <c r="C15" s="25">
        <v>736</v>
      </c>
      <c r="D15" s="25">
        <v>856</v>
      </c>
      <c r="E15" s="25">
        <v>1592</v>
      </c>
      <c r="F15" s="25">
        <v>36</v>
      </c>
      <c r="G15" s="144">
        <v>551</v>
      </c>
      <c r="H15" s="144">
        <v>616</v>
      </c>
      <c r="I15" s="144">
        <v>1167</v>
      </c>
      <c r="J15" s="144">
        <v>28</v>
      </c>
      <c r="K15" s="25">
        <v>572</v>
      </c>
      <c r="L15" s="25">
        <v>650</v>
      </c>
      <c r="M15" s="25">
        <v>1222</v>
      </c>
      <c r="N15" s="25">
        <v>30</v>
      </c>
      <c r="O15" s="144">
        <v>426</v>
      </c>
      <c r="P15" s="144">
        <v>525</v>
      </c>
      <c r="Q15" s="144">
        <v>951</v>
      </c>
      <c r="R15" s="144">
        <v>25</v>
      </c>
      <c r="S15" s="25">
        <v>327</v>
      </c>
      <c r="T15" s="25">
        <v>439</v>
      </c>
      <c r="U15" s="25">
        <v>766</v>
      </c>
      <c r="V15" s="25">
        <v>24</v>
      </c>
      <c r="W15" s="144">
        <v>357</v>
      </c>
      <c r="X15" s="144">
        <v>479</v>
      </c>
      <c r="Y15" s="144">
        <v>836</v>
      </c>
      <c r="Z15" s="144">
        <v>24</v>
      </c>
      <c r="AA15" s="25">
        <v>2969</v>
      </c>
      <c r="AB15" s="25">
        <v>3565</v>
      </c>
      <c r="AC15" s="25">
        <v>6534</v>
      </c>
      <c r="AD15" s="25">
        <v>167</v>
      </c>
      <c r="AE15" s="145">
        <v>5786</v>
      </c>
      <c r="AF15" s="145">
        <v>748</v>
      </c>
      <c r="AG15" s="146">
        <v>76</v>
      </c>
      <c r="AH15" s="146">
        <v>210</v>
      </c>
      <c r="AI15" s="146">
        <v>286</v>
      </c>
    </row>
    <row r="16" spans="1:107" ht="21" x14ac:dyDescent="0.35">
      <c r="A16" s="24"/>
      <c r="B16" s="33" t="s">
        <v>640</v>
      </c>
      <c r="C16" s="25">
        <v>365</v>
      </c>
      <c r="D16" s="25">
        <v>269</v>
      </c>
      <c r="E16" s="25">
        <v>634</v>
      </c>
      <c r="F16" s="25">
        <v>16</v>
      </c>
      <c r="G16" s="144">
        <v>442</v>
      </c>
      <c r="H16" s="144">
        <v>199</v>
      </c>
      <c r="I16" s="144">
        <v>641</v>
      </c>
      <c r="J16" s="144">
        <v>16</v>
      </c>
      <c r="K16" s="25">
        <v>409</v>
      </c>
      <c r="L16" s="25">
        <v>198</v>
      </c>
      <c r="M16" s="25">
        <v>607</v>
      </c>
      <c r="N16" s="25">
        <v>15</v>
      </c>
      <c r="O16" s="144">
        <v>412</v>
      </c>
      <c r="P16" s="144">
        <v>181</v>
      </c>
      <c r="Q16" s="144">
        <v>593</v>
      </c>
      <c r="R16" s="144">
        <v>14</v>
      </c>
      <c r="S16" s="25">
        <v>365</v>
      </c>
      <c r="T16" s="25">
        <v>213</v>
      </c>
      <c r="U16" s="25">
        <v>578</v>
      </c>
      <c r="V16" s="25">
        <v>16</v>
      </c>
      <c r="W16" s="144">
        <v>365</v>
      </c>
      <c r="X16" s="144">
        <v>212</v>
      </c>
      <c r="Y16" s="144">
        <v>577</v>
      </c>
      <c r="Z16" s="144">
        <v>14</v>
      </c>
      <c r="AA16" s="25">
        <v>2358</v>
      </c>
      <c r="AB16" s="25">
        <v>1272</v>
      </c>
      <c r="AC16" s="25">
        <v>3630</v>
      </c>
      <c r="AD16" s="25">
        <v>91</v>
      </c>
      <c r="AE16" s="145">
        <v>2777</v>
      </c>
      <c r="AF16" s="145">
        <v>853</v>
      </c>
      <c r="AG16" s="146">
        <v>42</v>
      </c>
      <c r="AH16" s="146">
        <v>134</v>
      </c>
      <c r="AI16" s="146">
        <v>176</v>
      </c>
    </row>
    <row r="17" spans="1:35" ht="21" x14ac:dyDescent="0.35">
      <c r="A17" s="24"/>
      <c r="B17" s="24" t="s">
        <v>641</v>
      </c>
      <c r="C17" s="25">
        <v>954</v>
      </c>
      <c r="D17" s="25">
        <v>1027</v>
      </c>
      <c r="E17" s="25">
        <v>1981</v>
      </c>
      <c r="F17" s="25">
        <v>40</v>
      </c>
      <c r="G17" s="144">
        <v>922</v>
      </c>
      <c r="H17" s="144">
        <v>906</v>
      </c>
      <c r="I17" s="144">
        <v>1828</v>
      </c>
      <c r="J17" s="144">
        <v>39</v>
      </c>
      <c r="K17" s="25">
        <v>885</v>
      </c>
      <c r="L17" s="25">
        <v>796</v>
      </c>
      <c r="M17" s="25">
        <v>1681</v>
      </c>
      <c r="N17" s="25">
        <v>36</v>
      </c>
      <c r="O17" s="144">
        <v>839</v>
      </c>
      <c r="P17" s="144">
        <v>780</v>
      </c>
      <c r="Q17" s="144">
        <v>1619</v>
      </c>
      <c r="R17" s="144">
        <v>33</v>
      </c>
      <c r="S17" s="25">
        <v>709</v>
      </c>
      <c r="T17" s="25">
        <v>730</v>
      </c>
      <c r="U17" s="25">
        <v>1439</v>
      </c>
      <c r="V17" s="25">
        <v>30</v>
      </c>
      <c r="W17" s="144">
        <v>562</v>
      </c>
      <c r="X17" s="144">
        <v>683</v>
      </c>
      <c r="Y17" s="144">
        <v>1245</v>
      </c>
      <c r="Z17" s="144">
        <v>28</v>
      </c>
      <c r="AA17" s="25">
        <v>4871</v>
      </c>
      <c r="AB17" s="25">
        <v>4922</v>
      </c>
      <c r="AC17" s="25">
        <v>9793</v>
      </c>
      <c r="AD17" s="25">
        <v>206</v>
      </c>
      <c r="AE17" s="145">
        <v>5363</v>
      </c>
      <c r="AF17" s="145">
        <v>4430</v>
      </c>
      <c r="AG17" s="146">
        <v>27</v>
      </c>
      <c r="AH17" s="146">
        <v>281</v>
      </c>
      <c r="AI17" s="146">
        <v>308</v>
      </c>
    </row>
    <row r="18" spans="1:35" ht="21" x14ac:dyDescent="0.35">
      <c r="A18" s="24"/>
      <c r="B18" s="24" t="s">
        <v>642</v>
      </c>
      <c r="C18" s="25">
        <v>511</v>
      </c>
      <c r="D18" s="25">
        <v>434</v>
      </c>
      <c r="E18" s="25">
        <v>945</v>
      </c>
      <c r="F18" s="25">
        <v>27</v>
      </c>
      <c r="G18" s="144">
        <v>480</v>
      </c>
      <c r="H18" s="144">
        <v>385</v>
      </c>
      <c r="I18" s="144">
        <v>865</v>
      </c>
      <c r="J18" s="144">
        <v>28</v>
      </c>
      <c r="K18" s="25">
        <v>388</v>
      </c>
      <c r="L18" s="25">
        <v>414</v>
      </c>
      <c r="M18" s="25">
        <v>802</v>
      </c>
      <c r="N18" s="25">
        <v>25</v>
      </c>
      <c r="O18" s="144">
        <v>321</v>
      </c>
      <c r="P18" s="144">
        <v>353</v>
      </c>
      <c r="Q18" s="144">
        <v>674</v>
      </c>
      <c r="R18" s="144">
        <v>24</v>
      </c>
      <c r="S18" s="25">
        <v>279</v>
      </c>
      <c r="T18" s="25">
        <v>330</v>
      </c>
      <c r="U18" s="25">
        <v>609</v>
      </c>
      <c r="V18" s="25">
        <v>23</v>
      </c>
      <c r="W18" s="144">
        <v>286</v>
      </c>
      <c r="X18" s="144">
        <v>342</v>
      </c>
      <c r="Y18" s="144">
        <v>628</v>
      </c>
      <c r="Z18" s="144">
        <v>27</v>
      </c>
      <c r="AA18" s="25">
        <v>2265</v>
      </c>
      <c r="AB18" s="25">
        <v>2258</v>
      </c>
      <c r="AC18" s="25">
        <v>4523</v>
      </c>
      <c r="AD18" s="25">
        <v>154</v>
      </c>
      <c r="AE18" s="145">
        <v>3688</v>
      </c>
      <c r="AF18" s="145">
        <v>835</v>
      </c>
      <c r="AG18" s="146">
        <v>37</v>
      </c>
      <c r="AH18" s="146">
        <v>175</v>
      </c>
      <c r="AI18" s="146">
        <v>212</v>
      </c>
    </row>
    <row r="19" spans="1:35" ht="21" x14ac:dyDescent="0.35">
      <c r="A19" s="24"/>
      <c r="B19" s="24" t="s">
        <v>643</v>
      </c>
      <c r="C19" s="25">
        <v>746</v>
      </c>
      <c r="D19" s="25">
        <v>622</v>
      </c>
      <c r="E19" s="25">
        <v>1368</v>
      </c>
      <c r="F19" s="25">
        <v>30</v>
      </c>
      <c r="G19" s="144">
        <v>381</v>
      </c>
      <c r="H19" s="144">
        <v>431</v>
      </c>
      <c r="I19" s="144">
        <v>812</v>
      </c>
      <c r="J19" s="144">
        <v>20</v>
      </c>
      <c r="K19" s="25">
        <v>466</v>
      </c>
      <c r="L19" s="25">
        <v>510</v>
      </c>
      <c r="M19" s="25">
        <v>976</v>
      </c>
      <c r="N19" s="25">
        <v>22</v>
      </c>
      <c r="O19" s="144">
        <v>325</v>
      </c>
      <c r="P19" s="144">
        <v>360</v>
      </c>
      <c r="Q19" s="144">
        <v>685</v>
      </c>
      <c r="R19" s="144">
        <v>19</v>
      </c>
      <c r="S19" s="25">
        <v>280</v>
      </c>
      <c r="T19" s="25">
        <v>302</v>
      </c>
      <c r="U19" s="25">
        <v>582</v>
      </c>
      <c r="V19" s="25">
        <v>20</v>
      </c>
      <c r="W19" s="144">
        <v>254</v>
      </c>
      <c r="X19" s="144">
        <v>264</v>
      </c>
      <c r="Y19" s="144">
        <v>518</v>
      </c>
      <c r="Z19" s="144">
        <v>18</v>
      </c>
      <c r="AA19" s="25">
        <v>2452</v>
      </c>
      <c r="AB19" s="25">
        <v>2489</v>
      </c>
      <c r="AC19" s="25">
        <v>4941</v>
      </c>
      <c r="AD19" s="25">
        <v>129</v>
      </c>
      <c r="AE19" s="145">
        <v>2528</v>
      </c>
      <c r="AF19" s="145">
        <v>2413</v>
      </c>
      <c r="AG19" s="146">
        <v>38</v>
      </c>
      <c r="AH19" s="146">
        <v>216</v>
      </c>
      <c r="AI19" s="146">
        <v>254</v>
      </c>
    </row>
    <row r="20" spans="1:35" ht="21" x14ac:dyDescent="0.35">
      <c r="A20" s="24"/>
      <c r="B20" s="33" t="s">
        <v>560</v>
      </c>
      <c r="C20" s="25">
        <v>1598</v>
      </c>
      <c r="D20" s="25">
        <v>2637</v>
      </c>
      <c r="E20" s="25">
        <v>4235</v>
      </c>
      <c r="F20" s="25">
        <v>98</v>
      </c>
      <c r="G20" s="144">
        <v>1614</v>
      </c>
      <c r="H20" s="144">
        <v>2262</v>
      </c>
      <c r="I20" s="144">
        <v>3876</v>
      </c>
      <c r="J20" s="144">
        <v>89</v>
      </c>
      <c r="K20" s="25">
        <v>1612</v>
      </c>
      <c r="L20" s="25">
        <v>2365</v>
      </c>
      <c r="M20" s="25">
        <v>3977</v>
      </c>
      <c r="N20" s="25">
        <v>91</v>
      </c>
      <c r="O20" s="144">
        <v>1612</v>
      </c>
      <c r="P20" s="144">
        <v>2477</v>
      </c>
      <c r="Q20" s="144">
        <v>4089</v>
      </c>
      <c r="R20" s="144">
        <v>94</v>
      </c>
      <c r="S20" s="25">
        <v>1254</v>
      </c>
      <c r="T20" s="25">
        <v>2026</v>
      </c>
      <c r="U20" s="25">
        <v>3280</v>
      </c>
      <c r="V20" s="25">
        <v>87</v>
      </c>
      <c r="W20" s="144">
        <v>1268</v>
      </c>
      <c r="X20" s="144">
        <v>2045</v>
      </c>
      <c r="Y20" s="144">
        <v>3313</v>
      </c>
      <c r="Z20" s="144">
        <v>85</v>
      </c>
      <c r="AA20" s="25">
        <v>8958</v>
      </c>
      <c r="AB20" s="25">
        <v>13812</v>
      </c>
      <c r="AC20" s="25">
        <v>22770</v>
      </c>
      <c r="AD20" s="25">
        <v>544</v>
      </c>
      <c r="AE20" s="145">
        <v>9624</v>
      </c>
      <c r="AF20" s="145">
        <v>13146</v>
      </c>
      <c r="AG20" s="146">
        <v>61</v>
      </c>
      <c r="AH20" s="146">
        <v>695</v>
      </c>
      <c r="AI20" s="146">
        <v>809</v>
      </c>
    </row>
    <row r="21" spans="1:35" ht="21" x14ac:dyDescent="0.35">
      <c r="A21" s="24"/>
      <c r="B21" s="24" t="s">
        <v>644</v>
      </c>
      <c r="C21" s="25">
        <v>923</v>
      </c>
      <c r="D21" s="25">
        <v>856</v>
      </c>
      <c r="E21" s="25">
        <v>1779</v>
      </c>
      <c r="F21" s="25">
        <v>34</v>
      </c>
      <c r="G21" s="144">
        <v>672</v>
      </c>
      <c r="H21" s="144">
        <v>719</v>
      </c>
      <c r="I21" s="144">
        <v>1391</v>
      </c>
      <c r="J21" s="144">
        <v>28</v>
      </c>
      <c r="K21" s="25">
        <v>695</v>
      </c>
      <c r="L21" s="25">
        <v>794</v>
      </c>
      <c r="M21" s="25">
        <v>1489</v>
      </c>
      <c r="N21" s="25">
        <v>30</v>
      </c>
      <c r="O21" s="144">
        <v>748</v>
      </c>
      <c r="P21" s="144">
        <v>705</v>
      </c>
      <c r="Q21" s="144">
        <v>1453</v>
      </c>
      <c r="R21" s="144">
        <v>29</v>
      </c>
      <c r="S21" s="25">
        <v>523</v>
      </c>
      <c r="T21" s="25">
        <v>699</v>
      </c>
      <c r="U21" s="25">
        <v>1222</v>
      </c>
      <c r="V21" s="25">
        <v>25</v>
      </c>
      <c r="W21" s="144">
        <v>454</v>
      </c>
      <c r="X21" s="144">
        <v>711</v>
      </c>
      <c r="Y21" s="144">
        <v>1165</v>
      </c>
      <c r="Z21" s="144">
        <v>25</v>
      </c>
      <c r="AA21" s="25">
        <v>4015</v>
      </c>
      <c r="AB21" s="25">
        <v>4484</v>
      </c>
      <c r="AC21" s="25">
        <v>8499</v>
      </c>
      <c r="AD21" s="25">
        <v>171</v>
      </c>
      <c r="AE21" s="145">
        <v>3619</v>
      </c>
      <c r="AF21" s="145">
        <v>4880</v>
      </c>
      <c r="AG21" s="146">
        <v>22</v>
      </c>
      <c r="AH21" s="146">
        <v>245</v>
      </c>
      <c r="AI21" s="146">
        <v>267</v>
      </c>
    </row>
    <row r="22" spans="1:35" ht="21" x14ac:dyDescent="0.35">
      <c r="A22" s="24"/>
      <c r="B22" s="24" t="s">
        <v>645</v>
      </c>
      <c r="C22" s="25">
        <v>512</v>
      </c>
      <c r="D22" s="25">
        <v>516</v>
      </c>
      <c r="E22" s="25">
        <v>1028</v>
      </c>
      <c r="F22" s="25">
        <v>26</v>
      </c>
      <c r="G22" s="144">
        <v>375</v>
      </c>
      <c r="H22" s="144">
        <v>392</v>
      </c>
      <c r="I22" s="144">
        <v>767</v>
      </c>
      <c r="J22" s="144">
        <v>22</v>
      </c>
      <c r="K22" s="25">
        <v>371</v>
      </c>
      <c r="L22" s="25">
        <v>470</v>
      </c>
      <c r="M22" s="25">
        <v>841</v>
      </c>
      <c r="N22" s="25">
        <v>25</v>
      </c>
      <c r="O22" s="144">
        <v>321</v>
      </c>
      <c r="P22" s="144">
        <v>420</v>
      </c>
      <c r="Q22" s="144">
        <v>741</v>
      </c>
      <c r="R22" s="144">
        <v>25</v>
      </c>
      <c r="S22" s="25">
        <v>316</v>
      </c>
      <c r="T22" s="25">
        <v>356</v>
      </c>
      <c r="U22" s="25">
        <v>672</v>
      </c>
      <c r="V22" s="25">
        <v>22</v>
      </c>
      <c r="W22" s="144">
        <v>254</v>
      </c>
      <c r="X22" s="144">
        <v>274</v>
      </c>
      <c r="Y22" s="144">
        <v>528</v>
      </c>
      <c r="Z22" s="144">
        <v>17</v>
      </c>
      <c r="AA22" s="25">
        <v>2149</v>
      </c>
      <c r="AB22" s="25">
        <v>2428</v>
      </c>
      <c r="AC22" s="25">
        <v>4577</v>
      </c>
      <c r="AD22" s="25">
        <v>137</v>
      </c>
      <c r="AE22" s="145">
        <v>3787</v>
      </c>
      <c r="AF22" s="145">
        <v>790</v>
      </c>
      <c r="AG22" s="146">
        <v>48</v>
      </c>
      <c r="AH22" s="146">
        <v>227</v>
      </c>
      <c r="AI22" s="146">
        <v>275</v>
      </c>
    </row>
    <row r="23" spans="1:35" ht="21" x14ac:dyDescent="0.35">
      <c r="A23" s="24"/>
      <c r="B23" s="24" t="s">
        <v>646</v>
      </c>
      <c r="C23" s="25">
        <v>534</v>
      </c>
      <c r="D23" s="25">
        <v>468</v>
      </c>
      <c r="E23" s="25">
        <v>1002</v>
      </c>
      <c r="F23" s="25">
        <v>25</v>
      </c>
      <c r="G23" s="144">
        <v>340</v>
      </c>
      <c r="H23" s="144">
        <v>451</v>
      </c>
      <c r="I23" s="144">
        <v>791</v>
      </c>
      <c r="J23" s="144">
        <v>20</v>
      </c>
      <c r="K23" s="25">
        <v>464</v>
      </c>
      <c r="L23" s="25">
        <v>429</v>
      </c>
      <c r="M23" s="25">
        <v>893</v>
      </c>
      <c r="N23" s="25">
        <v>24</v>
      </c>
      <c r="O23" s="144">
        <v>286</v>
      </c>
      <c r="P23" s="144">
        <v>420</v>
      </c>
      <c r="Q23" s="144">
        <v>706</v>
      </c>
      <c r="R23" s="144">
        <v>21</v>
      </c>
      <c r="S23" s="25">
        <v>257</v>
      </c>
      <c r="T23" s="25">
        <v>379</v>
      </c>
      <c r="U23" s="25">
        <v>636</v>
      </c>
      <c r="V23" s="25">
        <v>24</v>
      </c>
      <c r="W23" s="144">
        <v>349</v>
      </c>
      <c r="X23" s="144">
        <v>409</v>
      </c>
      <c r="Y23" s="144">
        <v>758</v>
      </c>
      <c r="Z23" s="144">
        <v>24</v>
      </c>
      <c r="AA23" s="25">
        <v>2230</v>
      </c>
      <c r="AB23" s="25">
        <v>2556</v>
      </c>
      <c r="AC23" s="25">
        <v>4786</v>
      </c>
      <c r="AD23" s="25">
        <v>138</v>
      </c>
      <c r="AE23" s="145">
        <v>4137</v>
      </c>
      <c r="AF23" s="145">
        <v>649</v>
      </c>
      <c r="AG23" s="146">
        <v>69</v>
      </c>
      <c r="AH23" s="146">
        <v>207</v>
      </c>
      <c r="AI23" s="146">
        <v>276</v>
      </c>
    </row>
    <row r="24" spans="1:35" s="303" customFormat="1" ht="21" x14ac:dyDescent="0.35">
      <c r="A24" s="302"/>
      <c r="B24" s="302" t="s">
        <v>647</v>
      </c>
      <c r="C24" s="25">
        <v>571</v>
      </c>
      <c r="D24" s="25">
        <v>570</v>
      </c>
      <c r="E24" s="25">
        <v>1224</v>
      </c>
      <c r="F24" s="25">
        <v>28</v>
      </c>
      <c r="G24" s="301">
        <v>449</v>
      </c>
      <c r="H24" s="301">
        <v>545</v>
      </c>
      <c r="I24" s="301">
        <v>1058</v>
      </c>
      <c r="J24" s="301">
        <v>23</v>
      </c>
      <c r="K24" s="25">
        <v>450</v>
      </c>
      <c r="L24" s="25">
        <v>539</v>
      </c>
      <c r="M24" s="25">
        <v>1067</v>
      </c>
      <c r="N24" s="25">
        <v>23</v>
      </c>
      <c r="O24" s="301">
        <v>408</v>
      </c>
      <c r="P24" s="301">
        <v>522</v>
      </c>
      <c r="Q24" s="301">
        <v>995</v>
      </c>
      <c r="R24" s="301">
        <v>22</v>
      </c>
      <c r="S24" s="25">
        <v>364</v>
      </c>
      <c r="T24" s="25">
        <v>438</v>
      </c>
      <c r="U24" s="25">
        <v>845</v>
      </c>
      <c r="V24" s="25">
        <v>21</v>
      </c>
      <c r="W24" s="301">
        <v>344</v>
      </c>
      <c r="X24" s="301">
        <v>574</v>
      </c>
      <c r="Y24" s="301">
        <v>954</v>
      </c>
      <c r="Z24" s="301">
        <v>21</v>
      </c>
      <c r="AA24" s="25">
        <v>2586</v>
      </c>
      <c r="AB24" s="25">
        <v>3188</v>
      </c>
      <c r="AC24" s="25">
        <v>5774</v>
      </c>
      <c r="AD24" s="25">
        <v>138</v>
      </c>
      <c r="AE24" s="145">
        <v>4466</v>
      </c>
      <c r="AF24" s="145">
        <v>1308</v>
      </c>
      <c r="AG24" s="146">
        <v>26</v>
      </c>
      <c r="AH24" s="146">
        <v>239</v>
      </c>
      <c r="AI24" s="146">
        <v>265</v>
      </c>
    </row>
    <row r="25" spans="1:35" ht="36" x14ac:dyDescent="0.55000000000000004">
      <c r="A25" s="24"/>
      <c r="B25" s="24" t="s">
        <v>648</v>
      </c>
      <c r="C25" s="25">
        <f t="shared" ref="C25:AI25" si="0">SUM(C4:C24)</f>
        <v>13956</v>
      </c>
      <c r="D25" s="25">
        <f t="shared" si="0"/>
        <v>15530</v>
      </c>
      <c r="E25" s="25">
        <f t="shared" si="0"/>
        <v>29569</v>
      </c>
      <c r="F25" s="25">
        <f t="shared" si="0"/>
        <v>695</v>
      </c>
      <c r="G25" s="144">
        <f t="shared" si="0"/>
        <v>11798</v>
      </c>
      <c r="H25" s="144">
        <f t="shared" si="0"/>
        <v>13447</v>
      </c>
      <c r="I25" s="144">
        <f t="shared" si="0"/>
        <v>25327</v>
      </c>
      <c r="J25" s="144">
        <f t="shared" si="0"/>
        <v>622</v>
      </c>
      <c r="K25" s="25">
        <f t="shared" si="0"/>
        <v>11852</v>
      </c>
      <c r="L25" s="25">
        <f t="shared" si="0"/>
        <v>14081</v>
      </c>
      <c r="M25" s="25">
        <f t="shared" si="0"/>
        <v>26032</v>
      </c>
      <c r="N25" s="25">
        <f t="shared" si="0"/>
        <v>636</v>
      </c>
      <c r="O25" s="144">
        <f t="shared" si="0"/>
        <v>10337</v>
      </c>
      <c r="P25" s="144">
        <f t="shared" si="0"/>
        <v>13400</v>
      </c>
      <c r="Q25" s="144">
        <f t="shared" si="0"/>
        <v>23863</v>
      </c>
      <c r="R25" s="144">
        <f t="shared" si="0"/>
        <v>604</v>
      </c>
      <c r="S25" s="25">
        <f t="shared" si="0"/>
        <v>8650</v>
      </c>
      <c r="T25" s="25">
        <f t="shared" si="0"/>
        <v>11979</v>
      </c>
      <c r="U25" s="25">
        <f t="shared" si="0"/>
        <v>20591</v>
      </c>
      <c r="V25" s="25">
        <f t="shared" si="0"/>
        <v>583</v>
      </c>
      <c r="W25" s="144">
        <f t="shared" si="0"/>
        <v>8393</v>
      </c>
      <c r="X25" s="144">
        <f t="shared" si="0"/>
        <v>11840</v>
      </c>
      <c r="Y25" s="144">
        <f t="shared" si="0"/>
        <v>20269</v>
      </c>
      <c r="Z25" s="144">
        <f t="shared" si="0"/>
        <v>566</v>
      </c>
      <c r="AA25" s="25">
        <f t="shared" si="0"/>
        <v>65080</v>
      </c>
      <c r="AB25" s="25">
        <f t="shared" si="0"/>
        <v>81286</v>
      </c>
      <c r="AC25" s="309">
        <f t="shared" si="0"/>
        <v>146366</v>
      </c>
      <c r="AD25" s="310">
        <f t="shared" si="0"/>
        <v>3686</v>
      </c>
      <c r="AE25" s="311">
        <f t="shared" si="0"/>
        <v>95096</v>
      </c>
      <c r="AF25" s="311">
        <f t="shared" si="0"/>
        <v>51270</v>
      </c>
      <c r="AG25" s="146">
        <f t="shared" si="0"/>
        <v>1053</v>
      </c>
      <c r="AH25" s="146">
        <f t="shared" si="0"/>
        <v>5329</v>
      </c>
      <c r="AI25" s="312">
        <f t="shared" si="0"/>
        <v>6399</v>
      </c>
    </row>
  </sheetData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N26"/>
  <sheetViews>
    <sheetView topLeftCell="I1" zoomScale="45" zoomScaleNormal="30" workbookViewId="0">
      <selection activeCell="AR39" sqref="AR39"/>
    </sheetView>
  </sheetViews>
  <sheetFormatPr defaultRowHeight="15" x14ac:dyDescent="0.25"/>
  <cols>
    <col min="1" max="1" width="8.85546875" customWidth="1"/>
    <col min="2" max="2" width="29.140625" customWidth="1"/>
    <col min="3" max="3" width="14.140625" bestFit="1" customWidth="1"/>
    <col min="4" max="5" width="11.85546875" bestFit="1" customWidth="1"/>
    <col min="6" max="7" width="10.42578125" bestFit="1" customWidth="1"/>
    <col min="8" max="8" width="11.85546875" bestFit="1" customWidth="1"/>
    <col min="9" max="9" width="8.85546875" bestFit="1" customWidth="1"/>
    <col min="10" max="11" width="11.85546875" bestFit="1" customWidth="1"/>
    <col min="12" max="12" width="11.85546875" customWidth="1"/>
    <col min="13" max="13" width="11.85546875" bestFit="1" customWidth="1"/>
    <col min="14" max="14" width="10.42578125" bestFit="1" customWidth="1"/>
    <col min="15" max="15" width="13.85546875" customWidth="1"/>
    <col min="16" max="16" width="8.85546875" bestFit="1" customWidth="1"/>
    <col min="17" max="17" width="14.140625" bestFit="1" customWidth="1"/>
    <col min="18" max="18" width="8.85546875" bestFit="1" customWidth="1"/>
    <col min="19" max="21" width="10.42578125" bestFit="1" customWidth="1"/>
    <col min="22" max="22" width="8.85546875" bestFit="1" customWidth="1"/>
    <col min="23" max="23" width="11.85546875" bestFit="1" customWidth="1"/>
    <col min="24" max="29" width="10.42578125" bestFit="1" customWidth="1"/>
    <col min="30" max="30" width="11.85546875" bestFit="1" customWidth="1"/>
    <col min="31" max="31" width="10.42578125" bestFit="1" customWidth="1"/>
    <col min="32" max="33" width="11.85546875" bestFit="1" customWidth="1"/>
    <col min="34" max="34" width="8.85546875" bestFit="1" customWidth="1"/>
    <col min="35" max="35" width="10.42578125" bestFit="1" customWidth="1"/>
    <col min="36" max="38" width="8.85546875" bestFit="1" customWidth="1"/>
    <col min="39" max="39" width="10.42578125" bestFit="1" customWidth="1"/>
    <col min="40" max="40" width="22.140625" customWidth="1"/>
  </cols>
  <sheetData>
    <row r="2" spans="1:40" ht="21" x14ac:dyDescent="0.35">
      <c r="A2" s="26"/>
      <c r="B2" s="26"/>
      <c r="C2" s="321"/>
      <c r="D2" s="321"/>
      <c r="E2" s="321"/>
      <c r="F2" s="27"/>
      <c r="G2" s="27"/>
      <c r="H2" s="27"/>
      <c r="I2" s="321"/>
      <c r="J2" s="321"/>
      <c r="K2" s="321"/>
      <c r="L2" s="27"/>
      <c r="M2" s="27"/>
      <c r="N2" s="27"/>
      <c r="O2" s="321"/>
      <c r="P2" s="321"/>
      <c r="Q2" s="321"/>
      <c r="R2" s="27"/>
      <c r="S2" s="27"/>
      <c r="T2" s="27"/>
      <c r="U2" s="321"/>
      <c r="V2" s="321"/>
      <c r="W2" s="321"/>
      <c r="X2" s="27"/>
      <c r="Y2" s="27"/>
      <c r="Z2" s="27"/>
      <c r="AA2" s="321"/>
      <c r="AB2" s="321"/>
      <c r="AC2" s="321"/>
      <c r="AD2" s="27"/>
      <c r="AE2" s="27"/>
      <c r="AF2" s="27"/>
      <c r="AG2" s="321"/>
      <c r="AH2" s="321"/>
      <c r="AI2" s="321"/>
      <c r="AJ2" s="27"/>
      <c r="AK2" s="27"/>
      <c r="AL2" s="27"/>
      <c r="AM2" s="27"/>
      <c r="AN2" s="26"/>
    </row>
    <row r="3" spans="1:40" ht="21" x14ac:dyDescent="0.35">
      <c r="A3" s="28" t="s">
        <v>627</v>
      </c>
      <c r="B3" s="28" t="s">
        <v>649</v>
      </c>
      <c r="C3" s="29" t="s">
        <v>1</v>
      </c>
      <c r="D3" s="29" t="s">
        <v>2</v>
      </c>
      <c r="E3" s="29" t="s">
        <v>3</v>
      </c>
      <c r="F3" s="29" t="s">
        <v>4</v>
      </c>
      <c r="G3" s="29" t="s">
        <v>5</v>
      </c>
      <c r="H3" s="29" t="s">
        <v>6</v>
      </c>
      <c r="I3" s="29" t="s">
        <v>7</v>
      </c>
      <c r="J3" s="29" t="s">
        <v>8</v>
      </c>
      <c r="K3" s="29" t="s">
        <v>9</v>
      </c>
      <c r="L3" s="29" t="s">
        <v>10</v>
      </c>
      <c r="M3" s="29" t="s">
        <v>11</v>
      </c>
      <c r="N3" s="29" t="s">
        <v>12</v>
      </c>
      <c r="O3" s="29" t="s">
        <v>13</v>
      </c>
      <c r="P3" s="29" t="s">
        <v>14</v>
      </c>
      <c r="Q3" s="29" t="s">
        <v>15</v>
      </c>
      <c r="R3" s="29" t="s">
        <v>16</v>
      </c>
      <c r="S3" s="29" t="s">
        <v>17</v>
      </c>
      <c r="T3" s="29" t="s">
        <v>18</v>
      </c>
      <c r="U3" s="29" t="s">
        <v>19</v>
      </c>
      <c r="V3" s="29" t="s">
        <v>20</v>
      </c>
      <c r="W3" s="29" t="s">
        <v>21</v>
      </c>
      <c r="X3" s="29" t="s">
        <v>22</v>
      </c>
      <c r="Y3" s="29" t="s">
        <v>23</v>
      </c>
      <c r="Z3" s="29" t="s">
        <v>24</v>
      </c>
      <c r="AA3" s="29" t="s">
        <v>25</v>
      </c>
      <c r="AB3" s="29" t="s">
        <v>26</v>
      </c>
      <c r="AC3" s="27" t="s">
        <v>27</v>
      </c>
      <c r="AD3" s="29" t="s">
        <v>28</v>
      </c>
      <c r="AE3" s="29" t="s">
        <v>29</v>
      </c>
      <c r="AF3" s="29" t="s">
        <v>30</v>
      </c>
      <c r="AG3" s="29" t="s">
        <v>31</v>
      </c>
      <c r="AH3" s="29" t="s">
        <v>32</v>
      </c>
      <c r="AI3" s="29" t="s">
        <v>33</v>
      </c>
      <c r="AJ3" s="29" t="s">
        <v>34</v>
      </c>
      <c r="AK3" s="29" t="s">
        <v>35</v>
      </c>
      <c r="AL3" s="29" t="s">
        <v>36</v>
      </c>
      <c r="AM3" s="29" t="s">
        <v>37</v>
      </c>
      <c r="AN3" s="30"/>
    </row>
    <row r="4" spans="1:40" ht="21" x14ac:dyDescent="0.35">
      <c r="A4" s="30">
        <v>1</v>
      </c>
      <c r="B4" s="28" t="s">
        <v>325</v>
      </c>
      <c r="C4" s="34">
        <v>141</v>
      </c>
      <c r="D4" s="34">
        <v>5</v>
      </c>
      <c r="E4" s="34">
        <v>39</v>
      </c>
      <c r="F4" s="34">
        <v>0</v>
      </c>
      <c r="G4" s="34">
        <v>1</v>
      </c>
      <c r="H4" s="34">
        <v>25</v>
      </c>
      <c r="I4" s="34">
        <v>0</v>
      </c>
      <c r="J4" s="34">
        <v>18</v>
      </c>
      <c r="K4" s="34">
        <v>12</v>
      </c>
      <c r="L4" s="34">
        <v>617</v>
      </c>
      <c r="M4" s="34">
        <v>3</v>
      </c>
      <c r="N4" s="34">
        <v>2</v>
      </c>
      <c r="O4" s="34">
        <v>519</v>
      </c>
      <c r="P4" s="34"/>
      <c r="Q4" s="34">
        <v>339</v>
      </c>
      <c r="R4" s="34"/>
      <c r="S4" s="34">
        <v>3</v>
      </c>
      <c r="T4" s="34"/>
      <c r="U4" s="34"/>
      <c r="V4" s="34"/>
      <c r="W4" s="34">
        <v>10</v>
      </c>
      <c r="X4" s="34">
        <v>1</v>
      </c>
      <c r="Y4" s="34"/>
      <c r="Z4" s="34">
        <v>2</v>
      </c>
      <c r="AA4" s="34">
        <v>0</v>
      </c>
      <c r="AB4" s="34">
        <v>4</v>
      </c>
      <c r="AC4" s="34">
        <v>5</v>
      </c>
      <c r="AD4" s="34">
        <v>4</v>
      </c>
      <c r="AE4" s="34">
        <v>2</v>
      </c>
      <c r="AF4" s="34">
        <v>7</v>
      </c>
      <c r="AG4" s="34">
        <v>3</v>
      </c>
      <c r="AH4" s="34"/>
      <c r="AI4" s="34"/>
      <c r="AJ4" s="34"/>
      <c r="AK4" s="34"/>
      <c r="AL4" s="34"/>
      <c r="AM4" s="34">
        <v>3</v>
      </c>
      <c r="AN4" s="34">
        <f t="shared" ref="AN4:AN24" si="0">SUM(C4:AM4)</f>
        <v>1765</v>
      </c>
    </row>
    <row r="5" spans="1:40" ht="21" x14ac:dyDescent="0.35">
      <c r="A5" s="30">
        <v>2</v>
      </c>
      <c r="B5" s="28" t="s">
        <v>361</v>
      </c>
      <c r="C5" s="34">
        <v>48</v>
      </c>
      <c r="D5" s="34">
        <v>2</v>
      </c>
      <c r="E5" s="34">
        <v>11</v>
      </c>
      <c r="F5" s="34"/>
      <c r="G5" s="34">
        <v>1</v>
      </c>
      <c r="H5" s="34">
        <v>23</v>
      </c>
      <c r="I5" s="34"/>
      <c r="J5" s="34">
        <v>6</v>
      </c>
      <c r="K5" s="34">
        <v>4</v>
      </c>
      <c r="L5" s="34">
        <v>355</v>
      </c>
      <c r="M5" s="34">
        <v>3</v>
      </c>
      <c r="N5" s="34"/>
      <c r="O5" s="34">
        <v>243</v>
      </c>
      <c r="P5" s="34"/>
      <c r="Q5" s="34">
        <v>76</v>
      </c>
      <c r="R5" s="34"/>
      <c r="S5" s="34">
        <v>3</v>
      </c>
      <c r="T5" s="34"/>
      <c r="U5" s="34"/>
      <c r="V5" s="34"/>
      <c r="W5" s="34">
        <v>3</v>
      </c>
      <c r="X5" s="34">
        <v>1</v>
      </c>
      <c r="Y5" s="34"/>
      <c r="Z5" s="34"/>
      <c r="AA5" s="34"/>
      <c r="AB5" s="34">
        <v>1</v>
      </c>
      <c r="AC5" s="34"/>
      <c r="AD5" s="34">
        <v>2</v>
      </c>
      <c r="AE5" s="34">
        <v>0</v>
      </c>
      <c r="AF5" s="34">
        <v>1</v>
      </c>
      <c r="AG5" s="34">
        <v>2</v>
      </c>
      <c r="AH5" s="34"/>
      <c r="AI5" s="34">
        <v>1</v>
      </c>
      <c r="AJ5" s="34"/>
      <c r="AK5" s="34"/>
      <c r="AL5" s="34"/>
      <c r="AM5" s="34">
        <v>4</v>
      </c>
      <c r="AN5" s="34">
        <f t="shared" si="0"/>
        <v>790</v>
      </c>
    </row>
    <row r="6" spans="1:40" ht="21" x14ac:dyDescent="0.35">
      <c r="A6" s="30">
        <v>3</v>
      </c>
      <c r="B6" s="28" t="s">
        <v>378</v>
      </c>
      <c r="C6" s="34">
        <v>119</v>
      </c>
      <c r="D6" s="34">
        <v>1</v>
      </c>
      <c r="E6" s="34">
        <v>3</v>
      </c>
      <c r="F6" s="34"/>
      <c r="G6" s="34"/>
      <c r="H6" s="34">
        <v>7</v>
      </c>
      <c r="I6" s="34"/>
      <c r="J6" s="34">
        <v>2</v>
      </c>
      <c r="K6" s="34">
        <v>5</v>
      </c>
      <c r="L6" s="34">
        <v>173</v>
      </c>
      <c r="M6" s="34">
        <v>2</v>
      </c>
      <c r="N6" s="34"/>
      <c r="O6" s="34">
        <v>94</v>
      </c>
      <c r="P6" s="34"/>
      <c r="Q6" s="34">
        <v>228</v>
      </c>
      <c r="R6" s="34">
        <v>0</v>
      </c>
      <c r="S6" s="34">
        <v>1</v>
      </c>
      <c r="T6" s="34">
        <v>0</v>
      </c>
      <c r="U6" s="34">
        <v>0</v>
      </c>
      <c r="V6" s="34">
        <v>0</v>
      </c>
      <c r="W6" s="34">
        <v>8</v>
      </c>
      <c r="X6" s="34">
        <v>0</v>
      </c>
      <c r="Y6" s="34">
        <v>0</v>
      </c>
      <c r="Z6" s="34">
        <v>0</v>
      </c>
      <c r="AA6" s="34">
        <v>0</v>
      </c>
      <c r="AB6" s="34">
        <v>0</v>
      </c>
      <c r="AC6" s="34">
        <v>4</v>
      </c>
      <c r="AD6" s="34">
        <v>0</v>
      </c>
      <c r="AE6" s="34">
        <v>0</v>
      </c>
      <c r="AF6" s="34">
        <v>0</v>
      </c>
      <c r="AG6" s="34">
        <v>2</v>
      </c>
      <c r="AH6" s="34">
        <v>0</v>
      </c>
      <c r="AI6" s="34">
        <v>0</v>
      </c>
      <c r="AJ6" s="34">
        <v>0</v>
      </c>
      <c r="AK6" s="34">
        <v>0</v>
      </c>
      <c r="AL6" s="34">
        <v>0</v>
      </c>
      <c r="AM6" s="34">
        <v>0</v>
      </c>
      <c r="AN6" s="34">
        <f t="shared" si="0"/>
        <v>649</v>
      </c>
    </row>
    <row r="7" spans="1:40" ht="21" x14ac:dyDescent="0.35">
      <c r="A7" s="30">
        <v>4</v>
      </c>
      <c r="B7" s="31" t="s">
        <v>616</v>
      </c>
      <c r="C7" s="34">
        <v>9</v>
      </c>
      <c r="D7" s="34">
        <v>4</v>
      </c>
      <c r="E7" s="34">
        <v>3</v>
      </c>
      <c r="F7" s="34">
        <v>0</v>
      </c>
      <c r="G7" s="34">
        <v>0</v>
      </c>
      <c r="H7" s="34">
        <v>1</v>
      </c>
      <c r="I7" s="34">
        <v>0</v>
      </c>
      <c r="J7" s="34">
        <v>0</v>
      </c>
      <c r="K7" s="34">
        <v>3</v>
      </c>
      <c r="L7" s="34">
        <v>26</v>
      </c>
      <c r="M7" s="34">
        <v>0</v>
      </c>
      <c r="N7" s="34">
        <v>0</v>
      </c>
      <c r="O7" s="34">
        <v>70</v>
      </c>
      <c r="P7" s="34">
        <v>0</v>
      </c>
      <c r="Q7" s="34">
        <v>22</v>
      </c>
      <c r="R7" s="34">
        <v>0</v>
      </c>
      <c r="S7" s="34">
        <v>0</v>
      </c>
      <c r="T7" s="34">
        <v>0</v>
      </c>
      <c r="U7" s="34">
        <v>0</v>
      </c>
      <c r="V7" s="34">
        <v>0</v>
      </c>
      <c r="W7" s="34">
        <v>6</v>
      </c>
      <c r="X7" s="34">
        <v>0</v>
      </c>
      <c r="Y7" s="34">
        <v>0</v>
      </c>
      <c r="Z7" s="34">
        <v>0</v>
      </c>
      <c r="AA7" s="34">
        <v>0</v>
      </c>
      <c r="AB7" s="34">
        <v>0</v>
      </c>
      <c r="AC7" s="34">
        <v>0</v>
      </c>
      <c r="AD7" s="34">
        <v>0</v>
      </c>
      <c r="AE7" s="34">
        <v>0</v>
      </c>
      <c r="AF7" s="34">
        <v>0</v>
      </c>
      <c r="AG7" s="34">
        <v>0</v>
      </c>
      <c r="AH7" s="34">
        <v>0</v>
      </c>
      <c r="AI7" s="34">
        <v>0</v>
      </c>
      <c r="AJ7" s="34">
        <v>0</v>
      </c>
      <c r="AK7" s="34">
        <v>0</v>
      </c>
      <c r="AL7" s="34">
        <v>0</v>
      </c>
      <c r="AM7" s="34">
        <v>0</v>
      </c>
      <c r="AN7" s="34">
        <f t="shared" si="0"/>
        <v>144</v>
      </c>
    </row>
    <row r="8" spans="1:40" ht="21" x14ac:dyDescent="0.35">
      <c r="A8" s="30">
        <v>5</v>
      </c>
      <c r="B8" s="31" t="s">
        <v>560</v>
      </c>
      <c r="C8" s="34">
        <v>1010</v>
      </c>
      <c r="D8" s="34">
        <v>9</v>
      </c>
      <c r="E8" s="34">
        <v>234</v>
      </c>
      <c r="F8" s="34">
        <v>6</v>
      </c>
      <c r="G8" s="34">
        <v>3</v>
      </c>
      <c r="H8" s="34">
        <v>93</v>
      </c>
      <c r="I8" s="34">
        <v>1</v>
      </c>
      <c r="J8" s="34">
        <v>128</v>
      </c>
      <c r="K8" s="34">
        <v>342</v>
      </c>
      <c r="L8" s="34">
        <v>2659</v>
      </c>
      <c r="M8" s="34">
        <v>66</v>
      </c>
      <c r="N8" s="34">
        <v>1</v>
      </c>
      <c r="O8" s="34">
        <v>5235</v>
      </c>
      <c r="P8" s="34">
        <v>6</v>
      </c>
      <c r="Q8" s="34">
        <v>2982</v>
      </c>
      <c r="R8" s="34">
        <v>5</v>
      </c>
      <c r="S8" s="34">
        <v>10</v>
      </c>
      <c r="T8" s="34">
        <v>6</v>
      </c>
      <c r="U8" s="34">
        <v>10</v>
      </c>
      <c r="V8" s="34"/>
      <c r="W8" s="34">
        <v>126</v>
      </c>
      <c r="X8" s="34">
        <v>18</v>
      </c>
      <c r="Y8" s="34">
        <v>2</v>
      </c>
      <c r="Z8" s="34">
        <v>12</v>
      </c>
      <c r="AA8" s="34">
        <v>3</v>
      </c>
      <c r="AB8" s="34">
        <v>13</v>
      </c>
      <c r="AC8" s="34">
        <v>11</v>
      </c>
      <c r="AD8" s="34">
        <v>58</v>
      </c>
      <c r="AE8" s="34">
        <v>18</v>
      </c>
      <c r="AF8" s="34">
        <v>15</v>
      </c>
      <c r="AG8" s="34">
        <v>44</v>
      </c>
      <c r="AH8" s="34">
        <v>1</v>
      </c>
      <c r="AI8" s="34">
        <v>6</v>
      </c>
      <c r="AJ8" s="34">
        <v>2</v>
      </c>
      <c r="AK8" s="34"/>
      <c r="AL8" s="34">
        <v>1</v>
      </c>
      <c r="AM8" s="34">
        <v>10</v>
      </c>
      <c r="AN8" s="34">
        <f t="shared" si="0"/>
        <v>13146</v>
      </c>
    </row>
    <row r="9" spans="1:40" ht="21" x14ac:dyDescent="0.35">
      <c r="A9" s="30">
        <v>6</v>
      </c>
      <c r="B9" s="31" t="s">
        <v>394</v>
      </c>
      <c r="C9" s="34">
        <v>107</v>
      </c>
      <c r="D9" s="34">
        <v>27</v>
      </c>
      <c r="E9" s="34">
        <v>21</v>
      </c>
      <c r="F9" s="34">
        <v>2</v>
      </c>
      <c r="G9" s="34">
        <v>6</v>
      </c>
      <c r="H9" s="34">
        <v>25</v>
      </c>
      <c r="I9" s="34">
        <v>3</v>
      </c>
      <c r="J9" s="34">
        <v>83</v>
      </c>
      <c r="K9" s="34">
        <v>27</v>
      </c>
      <c r="L9" s="34">
        <v>658</v>
      </c>
      <c r="M9" s="34">
        <v>6</v>
      </c>
      <c r="N9" s="34"/>
      <c r="O9" s="34">
        <v>667</v>
      </c>
      <c r="P9" s="34"/>
      <c r="Q9" s="34">
        <v>216</v>
      </c>
      <c r="R9" s="34"/>
      <c r="S9" s="34">
        <v>1</v>
      </c>
      <c r="T9" s="34"/>
      <c r="U9" s="34"/>
      <c r="V9" s="34">
        <v>1</v>
      </c>
      <c r="W9" s="34">
        <v>9</v>
      </c>
      <c r="X9" s="34">
        <v>1</v>
      </c>
      <c r="Y9" s="34">
        <v>3</v>
      </c>
      <c r="Z9" s="34">
        <v>4</v>
      </c>
      <c r="AA9" s="34"/>
      <c r="AB9" s="34"/>
      <c r="AC9" s="34">
        <v>2</v>
      </c>
      <c r="AD9" s="34">
        <v>2</v>
      </c>
      <c r="AE9" s="34">
        <v>3</v>
      </c>
      <c r="AF9" s="34">
        <v>3</v>
      </c>
      <c r="AG9" s="34">
        <v>3</v>
      </c>
      <c r="AH9" s="34"/>
      <c r="AI9" s="34">
        <v>5</v>
      </c>
      <c r="AJ9" s="34"/>
      <c r="AK9" s="34"/>
      <c r="AL9" s="34"/>
      <c r="AM9" s="34">
        <v>4</v>
      </c>
      <c r="AN9" s="34">
        <f t="shared" si="0"/>
        <v>1889</v>
      </c>
    </row>
    <row r="10" spans="1:40" ht="21" x14ac:dyDescent="0.35">
      <c r="A10" s="30">
        <v>7</v>
      </c>
      <c r="B10" s="31" t="s">
        <v>607</v>
      </c>
      <c r="C10" s="34">
        <v>1</v>
      </c>
      <c r="D10" s="34">
        <v>0</v>
      </c>
      <c r="E10" s="34">
        <v>0</v>
      </c>
      <c r="F10" s="34">
        <v>0</v>
      </c>
      <c r="G10" s="34">
        <v>0</v>
      </c>
      <c r="H10" s="34">
        <v>0</v>
      </c>
      <c r="I10" s="34">
        <v>0</v>
      </c>
      <c r="J10" s="34">
        <v>0</v>
      </c>
      <c r="K10" s="34">
        <v>3</v>
      </c>
      <c r="L10" s="34">
        <v>8</v>
      </c>
      <c r="M10" s="34">
        <v>0</v>
      </c>
      <c r="N10" s="34">
        <v>0</v>
      </c>
      <c r="O10" s="34">
        <v>15</v>
      </c>
      <c r="P10" s="34">
        <v>0</v>
      </c>
      <c r="Q10" s="34">
        <v>5</v>
      </c>
      <c r="R10" s="34">
        <v>0</v>
      </c>
      <c r="S10" s="34">
        <v>0</v>
      </c>
      <c r="T10" s="34">
        <v>0</v>
      </c>
      <c r="U10" s="34">
        <v>0</v>
      </c>
      <c r="V10" s="34">
        <v>0</v>
      </c>
      <c r="W10" s="34">
        <v>11</v>
      </c>
      <c r="X10" s="34">
        <v>0</v>
      </c>
      <c r="Y10" s="34">
        <v>0</v>
      </c>
      <c r="Z10" s="34">
        <v>0</v>
      </c>
      <c r="AA10" s="34">
        <v>0</v>
      </c>
      <c r="AB10" s="34">
        <v>0</v>
      </c>
      <c r="AC10" s="34">
        <v>0</v>
      </c>
      <c r="AD10" s="34">
        <v>0</v>
      </c>
      <c r="AE10" s="34">
        <v>0</v>
      </c>
      <c r="AF10" s="34">
        <v>0</v>
      </c>
      <c r="AG10" s="34">
        <v>0</v>
      </c>
      <c r="AH10" s="34">
        <v>0</v>
      </c>
      <c r="AI10" s="34">
        <v>0</v>
      </c>
      <c r="AJ10" s="34">
        <v>0</v>
      </c>
      <c r="AK10" s="34">
        <v>0</v>
      </c>
      <c r="AL10" s="34">
        <v>0</v>
      </c>
      <c r="AM10" s="34">
        <v>0</v>
      </c>
      <c r="AN10" s="34">
        <f t="shared" si="0"/>
        <v>43</v>
      </c>
    </row>
    <row r="11" spans="1:40" ht="21" x14ac:dyDescent="0.35">
      <c r="A11" s="30">
        <v>8</v>
      </c>
      <c r="B11" s="31" t="s">
        <v>584</v>
      </c>
      <c r="C11" s="34">
        <v>225</v>
      </c>
      <c r="D11" s="34">
        <v>0</v>
      </c>
      <c r="E11" s="34">
        <v>18</v>
      </c>
      <c r="F11" s="34">
        <v>0</v>
      </c>
      <c r="G11" s="34">
        <v>3</v>
      </c>
      <c r="H11" s="34">
        <v>12</v>
      </c>
      <c r="I11" s="34">
        <v>0</v>
      </c>
      <c r="J11" s="34">
        <v>5</v>
      </c>
      <c r="K11" s="34">
        <v>116</v>
      </c>
      <c r="L11" s="34">
        <v>601</v>
      </c>
      <c r="M11" s="34">
        <v>3</v>
      </c>
      <c r="N11" s="34">
        <v>0</v>
      </c>
      <c r="O11" s="34">
        <v>605</v>
      </c>
      <c r="P11" s="34"/>
      <c r="Q11" s="34">
        <v>765</v>
      </c>
      <c r="R11" s="34">
        <v>0</v>
      </c>
      <c r="S11" s="34">
        <v>0</v>
      </c>
      <c r="T11" s="34">
        <v>0</v>
      </c>
      <c r="U11" s="34">
        <v>1</v>
      </c>
      <c r="V11" s="34">
        <v>0</v>
      </c>
      <c r="W11" s="34">
        <v>26</v>
      </c>
      <c r="X11" s="34">
        <v>4</v>
      </c>
      <c r="Y11" s="34">
        <v>1</v>
      </c>
      <c r="Z11" s="34">
        <v>1</v>
      </c>
      <c r="AA11" s="34">
        <v>0</v>
      </c>
      <c r="AB11" s="34">
        <v>1</v>
      </c>
      <c r="AC11" s="34">
        <v>6</v>
      </c>
      <c r="AD11" s="34">
        <v>2</v>
      </c>
      <c r="AE11" s="34">
        <v>6</v>
      </c>
      <c r="AF11" s="34">
        <v>1</v>
      </c>
      <c r="AG11" s="34">
        <v>10</v>
      </c>
      <c r="AH11" s="34">
        <v>0</v>
      </c>
      <c r="AI11" s="34">
        <v>1</v>
      </c>
      <c r="AJ11" s="34">
        <v>0</v>
      </c>
      <c r="AK11" s="34">
        <v>0</v>
      </c>
      <c r="AL11" s="34">
        <v>0</v>
      </c>
      <c r="AM11" s="34">
        <v>0</v>
      </c>
      <c r="AN11" s="34">
        <f t="shared" si="0"/>
        <v>2413</v>
      </c>
    </row>
    <row r="12" spans="1:40" ht="21" x14ac:dyDescent="0.35">
      <c r="A12" s="30">
        <v>9</v>
      </c>
      <c r="B12" s="31" t="s">
        <v>411</v>
      </c>
      <c r="C12" s="34">
        <v>30</v>
      </c>
      <c r="D12" s="34">
        <v>3</v>
      </c>
      <c r="E12" s="34">
        <v>6</v>
      </c>
      <c r="F12" s="34">
        <v>1</v>
      </c>
      <c r="G12" s="34">
        <v>5</v>
      </c>
      <c r="H12" s="34">
        <v>11</v>
      </c>
      <c r="I12" s="34">
        <v>2</v>
      </c>
      <c r="J12" s="34">
        <v>11</v>
      </c>
      <c r="K12" s="34">
        <v>4</v>
      </c>
      <c r="L12" s="34">
        <v>179</v>
      </c>
      <c r="M12" s="34">
        <v>8</v>
      </c>
      <c r="N12" s="34">
        <v>0</v>
      </c>
      <c r="O12" s="34">
        <v>274</v>
      </c>
      <c r="P12" s="34">
        <v>0</v>
      </c>
      <c r="Q12" s="34">
        <v>55</v>
      </c>
      <c r="R12" s="34">
        <v>0</v>
      </c>
      <c r="S12" s="34">
        <v>4</v>
      </c>
      <c r="T12" s="34">
        <v>0</v>
      </c>
      <c r="U12" s="34">
        <v>0</v>
      </c>
      <c r="V12" s="34">
        <v>0</v>
      </c>
      <c r="W12" s="34">
        <v>8</v>
      </c>
      <c r="X12" s="34">
        <v>3</v>
      </c>
      <c r="Y12" s="34">
        <v>0</v>
      </c>
      <c r="Z12" s="34">
        <v>3</v>
      </c>
      <c r="AA12" s="34">
        <v>0</v>
      </c>
      <c r="AB12" s="34">
        <v>0</v>
      </c>
      <c r="AC12" s="34">
        <v>1</v>
      </c>
      <c r="AD12" s="34">
        <v>1</v>
      </c>
      <c r="AE12" s="34">
        <v>0</v>
      </c>
      <c r="AF12" s="34">
        <v>3</v>
      </c>
      <c r="AG12" s="34">
        <v>4</v>
      </c>
      <c r="AH12" s="34">
        <v>0</v>
      </c>
      <c r="AI12" s="34">
        <v>1</v>
      </c>
      <c r="AJ12" s="34">
        <v>0</v>
      </c>
      <c r="AK12" s="34">
        <v>0</v>
      </c>
      <c r="AL12" s="34">
        <v>0</v>
      </c>
      <c r="AM12" s="34">
        <v>0</v>
      </c>
      <c r="AN12" s="34">
        <f t="shared" si="0"/>
        <v>617</v>
      </c>
    </row>
    <row r="13" spans="1:40" ht="21" x14ac:dyDescent="0.35">
      <c r="A13" s="30">
        <v>10</v>
      </c>
      <c r="B13" s="31" t="s">
        <v>451</v>
      </c>
      <c r="C13" s="34">
        <v>28</v>
      </c>
      <c r="D13" s="34">
        <v>10</v>
      </c>
      <c r="E13" s="34">
        <v>6</v>
      </c>
      <c r="F13" s="34"/>
      <c r="G13" s="34"/>
      <c r="H13" s="34">
        <v>13</v>
      </c>
      <c r="I13" s="34"/>
      <c r="J13" s="34">
        <v>13</v>
      </c>
      <c r="K13" s="34">
        <v>25</v>
      </c>
      <c r="L13" s="34">
        <v>281</v>
      </c>
      <c r="M13" s="34">
        <v>6</v>
      </c>
      <c r="N13" s="34">
        <v>1</v>
      </c>
      <c r="O13" s="34">
        <v>365</v>
      </c>
      <c r="P13" s="34"/>
      <c r="Q13" s="34">
        <v>77</v>
      </c>
      <c r="R13" s="34"/>
      <c r="S13" s="34"/>
      <c r="T13" s="34"/>
      <c r="U13" s="34"/>
      <c r="V13" s="34">
        <v>2</v>
      </c>
      <c r="W13" s="34">
        <v>6</v>
      </c>
      <c r="X13" s="34"/>
      <c r="Y13" s="34">
        <v>2</v>
      </c>
      <c r="Z13" s="34">
        <v>2</v>
      </c>
      <c r="AA13" s="34">
        <v>1</v>
      </c>
      <c r="AB13" s="34"/>
      <c r="AC13" s="34">
        <v>1</v>
      </c>
      <c r="AD13" s="34">
        <v>1</v>
      </c>
      <c r="AE13" s="34"/>
      <c r="AF13" s="34">
        <v>3</v>
      </c>
      <c r="AG13" s="34">
        <v>3</v>
      </c>
      <c r="AH13" s="34"/>
      <c r="AI13" s="34">
        <v>4</v>
      </c>
      <c r="AJ13" s="34"/>
      <c r="AK13" s="34">
        <v>1</v>
      </c>
      <c r="AL13" s="34"/>
      <c r="AM13" s="34">
        <v>2</v>
      </c>
      <c r="AN13" s="34">
        <f t="shared" si="0"/>
        <v>853</v>
      </c>
    </row>
    <row r="14" spans="1:40" ht="21" x14ac:dyDescent="0.35">
      <c r="A14" s="30">
        <v>11</v>
      </c>
      <c r="B14" s="32" t="s">
        <v>517</v>
      </c>
      <c r="C14" s="34">
        <v>417</v>
      </c>
      <c r="D14" s="34">
        <v>6</v>
      </c>
      <c r="E14" s="34">
        <v>56</v>
      </c>
      <c r="F14" s="34">
        <v>3</v>
      </c>
      <c r="G14" s="34">
        <v>1</v>
      </c>
      <c r="H14" s="34">
        <v>26</v>
      </c>
      <c r="I14" s="34"/>
      <c r="J14" s="34">
        <v>43</v>
      </c>
      <c r="K14" s="34">
        <v>69</v>
      </c>
      <c r="L14" s="34">
        <v>1546</v>
      </c>
      <c r="M14" s="34">
        <v>17</v>
      </c>
      <c r="N14" s="34">
        <v>1</v>
      </c>
      <c r="O14" s="34">
        <v>2166</v>
      </c>
      <c r="P14" s="34">
        <v>13</v>
      </c>
      <c r="Q14" s="34">
        <v>962</v>
      </c>
      <c r="R14" s="34"/>
      <c r="S14" s="34">
        <v>1</v>
      </c>
      <c r="T14" s="34">
        <v>1</v>
      </c>
      <c r="U14" s="34"/>
      <c r="V14" s="34"/>
      <c r="W14" s="34">
        <v>27</v>
      </c>
      <c r="X14" s="34"/>
      <c r="Y14" s="34">
        <v>1</v>
      </c>
      <c r="Z14" s="34">
        <v>2</v>
      </c>
      <c r="AA14" s="34"/>
      <c r="AB14" s="34">
        <v>1</v>
      </c>
      <c r="AC14" s="34">
        <v>1</v>
      </c>
      <c r="AD14" s="34">
        <v>12</v>
      </c>
      <c r="AE14" s="34">
        <v>5</v>
      </c>
      <c r="AF14" s="34">
        <v>18</v>
      </c>
      <c r="AG14" s="34">
        <v>12</v>
      </c>
      <c r="AH14" s="34"/>
      <c r="AI14" s="34">
        <v>4</v>
      </c>
      <c r="AJ14" s="34"/>
      <c r="AK14" s="34">
        <v>0</v>
      </c>
      <c r="AL14" s="34"/>
      <c r="AM14" s="34">
        <v>1</v>
      </c>
      <c r="AN14" s="34">
        <f t="shared" si="0"/>
        <v>5412</v>
      </c>
    </row>
    <row r="15" spans="1:40" ht="21" x14ac:dyDescent="0.35">
      <c r="A15" s="30">
        <v>12</v>
      </c>
      <c r="B15" s="32" t="s">
        <v>534</v>
      </c>
      <c r="C15" s="34">
        <v>171</v>
      </c>
      <c r="D15" s="34">
        <v>1</v>
      </c>
      <c r="E15" s="34">
        <v>36</v>
      </c>
      <c r="F15" s="34"/>
      <c r="G15" s="34">
        <v>2</v>
      </c>
      <c r="H15" s="34">
        <v>22</v>
      </c>
      <c r="I15" s="34"/>
      <c r="J15" s="34">
        <v>28</v>
      </c>
      <c r="K15" s="34">
        <v>35</v>
      </c>
      <c r="L15" s="34">
        <v>795</v>
      </c>
      <c r="M15" s="34">
        <v>11</v>
      </c>
      <c r="N15" s="34">
        <v>4</v>
      </c>
      <c r="O15" s="34">
        <v>1132</v>
      </c>
      <c r="P15" s="34"/>
      <c r="Q15" s="34">
        <v>395</v>
      </c>
      <c r="R15" s="34"/>
      <c r="S15" s="34">
        <v>5</v>
      </c>
      <c r="T15" s="34"/>
      <c r="U15" s="34"/>
      <c r="V15" s="34"/>
      <c r="W15" s="34">
        <v>14</v>
      </c>
      <c r="X15" s="34"/>
      <c r="Y15" s="34">
        <v>2</v>
      </c>
      <c r="Z15" s="34"/>
      <c r="AA15" s="34">
        <v>1</v>
      </c>
      <c r="AB15" s="34">
        <v>3</v>
      </c>
      <c r="AC15" s="34">
        <v>1</v>
      </c>
      <c r="AD15" s="34">
        <v>11</v>
      </c>
      <c r="AE15" s="34">
        <v>2</v>
      </c>
      <c r="AF15" s="34">
        <v>4</v>
      </c>
      <c r="AG15" s="34">
        <v>8</v>
      </c>
      <c r="AH15" s="34"/>
      <c r="AI15" s="34">
        <v>2</v>
      </c>
      <c r="AJ15" s="34"/>
      <c r="AK15" s="34"/>
      <c r="AL15" s="34">
        <v>0</v>
      </c>
      <c r="AM15" s="34">
        <v>3</v>
      </c>
      <c r="AN15" s="34">
        <f t="shared" si="0"/>
        <v>2688</v>
      </c>
    </row>
    <row r="16" spans="1:40" ht="21" x14ac:dyDescent="0.35">
      <c r="A16" s="30">
        <v>13</v>
      </c>
      <c r="B16" s="32" t="s">
        <v>548</v>
      </c>
      <c r="C16" s="34">
        <v>100</v>
      </c>
      <c r="D16" s="34">
        <v>0</v>
      </c>
      <c r="E16" s="34">
        <v>13</v>
      </c>
      <c r="F16" s="34">
        <v>0</v>
      </c>
      <c r="G16" s="34">
        <v>2</v>
      </c>
      <c r="H16" s="34">
        <v>5</v>
      </c>
      <c r="I16" s="34">
        <v>0</v>
      </c>
      <c r="J16" s="34">
        <v>16</v>
      </c>
      <c r="K16" s="34">
        <v>22</v>
      </c>
      <c r="L16" s="34">
        <v>399</v>
      </c>
      <c r="M16" s="34">
        <v>3</v>
      </c>
      <c r="N16" s="34">
        <v>0</v>
      </c>
      <c r="O16" s="34">
        <v>564</v>
      </c>
      <c r="P16" s="34">
        <v>0</v>
      </c>
      <c r="Q16" s="34">
        <v>149</v>
      </c>
      <c r="R16" s="34">
        <v>0</v>
      </c>
      <c r="S16" s="34">
        <v>0</v>
      </c>
      <c r="T16" s="34">
        <v>0</v>
      </c>
      <c r="U16" s="34">
        <v>2</v>
      </c>
      <c r="V16" s="34">
        <v>0</v>
      </c>
      <c r="W16" s="34">
        <v>26</v>
      </c>
      <c r="X16" s="34">
        <v>0</v>
      </c>
      <c r="Y16" s="34">
        <v>1</v>
      </c>
      <c r="Z16" s="34">
        <v>0</v>
      </c>
      <c r="AA16" s="34">
        <v>0</v>
      </c>
      <c r="AB16" s="34">
        <v>0</v>
      </c>
      <c r="AC16" s="34">
        <v>0</v>
      </c>
      <c r="AD16" s="34">
        <v>1</v>
      </c>
      <c r="AE16" s="34">
        <v>0</v>
      </c>
      <c r="AF16" s="34">
        <v>3</v>
      </c>
      <c r="AG16" s="34">
        <v>2</v>
      </c>
      <c r="AH16" s="34">
        <v>0</v>
      </c>
      <c r="AI16" s="34">
        <v>0</v>
      </c>
      <c r="AJ16" s="34">
        <v>0</v>
      </c>
      <c r="AK16" s="34">
        <v>0</v>
      </c>
      <c r="AL16" s="34">
        <v>0</v>
      </c>
      <c r="AM16" s="34">
        <v>0</v>
      </c>
      <c r="AN16" s="34">
        <f t="shared" si="0"/>
        <v>1308</v>
      </c>
    </row>
    <row r="17" spans="1:40" ht="21" x14ac:dyDescent="0.35">
      <c r="A17" s="30">
        <v>14</v>
      </c>
      <c r="B17" s="31" t="s">
        <v>595</v>
      </c>
      <c r="C17" s="34">
        <v>46</v>
      </c>
      <c r="D17" s="34">
        <v>0</v>
      </c>
      <c r="E17" s="34">
        <v>3</v>
      </c>
      <c r="F17" s="34">
        <v>0</v>
      </c>
      <c r="G17" s="34">
        <v>1</v>
      </c>
      <c r="H17" s="34">
        <v>6</v>
      </c>
      <c r="I17" s="34">
        <v>0</v>
      </c>
      <c r="J17" s="34">
        <v>6</v>
      </c>
      <c r="K17" s="34">
        <v>19</v>
      </c>
      <c r="L17" s="34">
        <v>151</v>
      </c>
      <c r="M17" s="34">
        <v>3</v>
      </c>
      <c r="N17" s="34">
        <v>0</v>
      </c>
      <c r="O17" s="34">
        <v>261</v>
      </c>
      <c r="P17" s="34">
        <v>0</v>
      </c>
      <c r="Q17" s="34">
        <v>120</v>
      </c>
      <c r="R17" s="34">
        <v>0</v>
      </c>
      <c r="S17" s="34">
        <v>0</v>
      </c>
      <c r="T17" s="34">
        <v>0</v>
      </c>
      <c r="U17" s="34">
        <v>0</v>
      </c>
      <c r="V17" s="34">
        <v>0</v>
      </c>
      <c r="W17" s="34">
        <v>10</v>
      </c>
      <c r="X17" s="34">
        <v>0</v>
      </c>
      <c r="Y17" s="34">
        <v>1</v>
      </c>
      <c r="Z17" s="34">
        <v>0</v>
      </c>
      <c r="AA17" s="34">
        <v>0</v>
      </c>
      <c r="AB17" s="34">
        <v>1</v>
      </c>
      <c r="AC17" s="34">
        <v>0</v>
      </c>
      <c r="AD17" s="34">
        <v>0</v>
      </c>
      <c r="AE17" s="34">
        <v>0</v>
      </c>
      <c r="AF17" s="34">
        <v>0</v>
      </c>
      <c r="AG17" s="34">
        <v>0</v>
      </c>
      <c r="AH17" s="34">
        <v>0</v>
      </c>
      <c r="AI17" s="34">
        <v>0</v>
      </c>
      <c r="AJ17" s="34">
        <v>0</v>
      </c>
      <c r="AK17" s="34">
        <v>0</v>
      </c>
      <c r="AL17" s="34">
        <v>0</v>
      </c>
      <c r="AM17" s="34">
        <v>0</v>
      </c>
      <c r="AN17" s="34">
        <f t="shared" si="0"/>
        <v>628</v>
      </c>
    </row>
    <row r="18" spans="1:40" ht="21" x14ac:dyDescent="0.35">
      <c r="A18" s="30">
        <v>15</v>
      </c>
      <c r="B18" s="31" t="s">
        <v>422</v>
      </c>
      <c r="C18" s="34">
        <v>349</v>
      </c>
      <c r="D18" s="34">
        <v>32</v>
      </c>
      <c r="E18" s="34">
        <v>91</v>
      </c>
      <c r="F18" s="34">
        <v>1</v>
      </c>
      <c r="G18" s="34">
        <v>20</v>
      </c>
      <c r="H18" s="34">
        <v>116</v>
      </c>
      <c r="I18" s="34">
        <v>0</v>
      </c>
      <c r="J18" s="34">
        <v>99</v>
      </c>
      <c r="K18" s="34">
        <v>102</v>
      </c>
      <c r="L18" s="34">
        <v>1520</v>
      </c>
      <c r="M18" s="34">
        <v>44</v>
      </c>
      <c r="N18" s="34">
        <v>8</v>
      </c>
      <c r="O18" s="34">
        <v>2266</v>
      </c>
      <c r="P18" s="34">
        <v>1</v>
      </c>
      <c r="Q18" s="34">
        <v>460</v>
      </c>
      <c r="R18" s="34">
        <v>0</v>
      </c>
      <c r="S18" s="34">
        <v>9</v>
      </c>
      <c r="T18" s="34">
        <v>11</v>
      </c>
      <c r="U18" s="34">
        <v>0</v>
      </c>
      <c r="V18" s="34">
        <v>0</v>
      </c>
      <c r="W18" s="34">
        <v>75</v>
      </c>
      <c r="X18" s="34">
        <v>4</v>
      </c>
      <c r="Y18" s="34">
        <v>3</v>
      </c>
      <c r="Z18" s="34">
        <v>6</v>
      </c>
      <c r="AA18" s="34">
        <v>5</v>
      </c>
      <c r="AB18" s="34">
        <v>11</v>
      </c>
      <c r="AC18" s="34">
        <v>6</v>
      </c>
      <c r="AD18" s="34">
        <v>46</v>
      </c>
      <c r="AE18" s="34">
        <v>8</v>
      </c>
      <c r="AF18" s="34">
        <v>24</v>
      </c>
      <c r="AG18" s="34">
        <v>23</v>
      </c>
      <c r="AH18" s="34">
        <v>3</v>
      </c>
      <c r="AI18" s="34">
        <v>2</v>
      </c>
      <c r="AJ18" s="34">
        <v>0</v>
      </c>
      <c r="AK18" s="34">
        <v>0</v>
      </c>
      <c r="AL18" s="34">
        <v>2</v>
      </c>
      <c r="AM18" s="34">
        <v>8</v>
      </c>
      <c r="AN18" s="34">
        <f t="shared" si="0"/>
        <v>5355</v>
      </c>
    </row>
    <row r="19" spans="1:40" ht="21" x14ac:dyDescent="0.35">
      <c r="A19" s="30">
        <v>16</v>
      </c>
      <c r="B19" s="31" t="s">
        <v>442</v>
      </c>
      <c r="C19" s="34">
        <v>50</v>
      </c>
      <c r="D19" s="34">
        <v>5</v>
      </c>
      <c r="E19" s="34">
        <v>11</v>
      </c>
      <c r="F19" s="34"/>
      <c r="G19" s="34"/>
      <c r="H19" s="34">
        <v>4</v>
      </c>
      <c r="I19" s="34"/>
      <c r="J19" s="34">
        <v>13</v>
      </c>
      <c r="K19" s="34">
        <v>27</v>
      </c>
      <c r="L19" s="34">
        <v>321</v>
      </c>
      <c r="M19" s="34">
        <v>2</v>
      </c>
      <c r="N19" s="34">
        <v>2</v>
      </c>
      <c r="O19" s="34">
        <v>472</v>
      </c>
      <c r="P19" s="34"/>
      <c r="Q19" s="34">
        <v>223</v>
      </c>
      <c r="R19" s="34"/>
      <c r="S19" s="34"/>
      <c r="T19" s="34"/>
      <c r="U19" s="34"/>
      <c r="V19" s="34">
        <v>1</v>
      </c>
      <c r="W19" s="34">
        <v>3</v>
      </c>
      <c r="X19" s="34"/>
      <c r="Y19" s="34"/>
      <c r="Z19" s="34"/>
      <c r="AA19" s="34">
        <v>1</v>
      </c>
      <c r="AB19" s="34">
        <v>2</v>
      </c>
      <c r="AC19" s="34"/>
      <c r="AD19" s="34">
        <v>3</v>
      </c>
      <c r="AE19" s="34">
        <v>1</v>
      </c>
      <c r="AF19" s="34">
        <v>4</v>
      </c>
      <c r="AG19" s="34">
        <v>4</v>
      </c>
      <c r="AH19" s="34"/>
      <c r="AI19" s="34">
        <v>3</v>
      </c>
      <c r="AJ19" s="34"/>
      <c r="AK19" s="34"/>
      <c r="AL19" s="34"/>
      <c r="AM19" s="34">
        <v>3</v>
      </c>
      <c r="AN19" s="34">
        <f t="shared" si="0"/>
        <v>1155</v>
      </c>
    </row>
    <row r="20" spans="1:40" ht="21" x14ac:dyDescent="0.35">
      <c r="A20" s="30">
        <v>17</v>
      </c>
      <c r="B20" s="31" t="s">
        <v>463</v>
      </c>
      <c r="C20" s="34">
        <v>341</v>
      </c>
      <c r="D20" s="34">
        <v>7</v>
      </c>
      <c r="E20" s="34">
        <v>63</v>
      </c>
      <c r="F20" s="34"/>
      <c r="G20" s="34">
        <v>1</v>
      </c>
      <c r="H20" s="34">
        <v>21</v>
      </c>
      <c r="I20" s="34"/>
      <c r="J20" s="34">
        <v>23</v>
      </c>
      <c r="K20" s="34">
        <v>57</v>
      </c>
      <c r="L20" s="34">
        <v>1257</v>
      </c>
      <c r="M20" s="34">
        <v>16</v>
      </c>
      <c r="N20" s="34">
        <v>0</v>
      </c>
      <c r="O20" s="34">
        <v>1786</v>
      </c>
      <c r="P20" s="34"/>
      <c r="Q20" s="34">
        <v>785</v>
      </c>
      <c r="R20" s="34">
        <v>1</v>
      </c>
      <c r="S20" s="34">
        <v>1</v>
      </c>
      <c r="T20" s="34"/>
      <c r="U20" s="34">
        <v>1</v>
      </c>
      <c r="V20" s="34">
        <v>5</v>
      </c>
      <c r="W20" s="34">
        <v>8</v>
      </c>
      <c r="X20" s="34">
        <v>1</v>
      </c>
      <c r="Y20" s="34"/>
      <c r="Z20" s="34">
        <v>2</v>
      </c>
      <c r="AA20" s="34"/>
      <c r="AB20" s="34"/>
      <c r="AC20" s="34">
        <v>3</v>
      </c>
      <c r="AD20" s="34">
        <v>6</v>
      </c>
      <c r="AE20" s="34">
        <v>4</v>
      </c>
      <c r="AF20" s="34">
        <v>22</v>
      </c>
      <c r="AG20" s="34">
        <v>12</v>
      </c>
      <c r="AH20" s="34"/>
      <c r="AI20" s="34">
        <v>3</v>
      </c>
      <c r="AJ20" s="34"/>
      <c r="AK20" s="34"/>
      <c r="AL20" s="34"/>
      <c r="AM20" s="34">
        <v>4</v>
      </c>
      <c r="AN20" s="34">
        <f t="shared" si="0"/>
        <v>4430</v>
      </c>
    </row>
    <row r="21" spans="1:40" ht="21" x14ac:dyDescent="0.35">
      <c r="A21" s="30">
        <v>18</v>
      </c>
      <c r="B21" s="31" t="s">
        <v>472</v>
      </c>
      <c r="C21" s="34">
        <v>56</v>
      </c>
      <c r="D21" s="34">
        <v>0</v>
      </c>
      <c r="E21" s="34">
        <v>14</v>
      </c>
      <c r="F21" s="34">
        <v>1</v>
      </c>
      <c r="G21" s="34">
        <v>0</v>
      </c>
      <c r="H21" s="34">
        <v>5</v>
      </c>
      <c r="I21" s="34">
        <v>0</v>
      </c>
      <c r="J21" s="34">
        <v>12</v>
      </c>
      <c r="K21" s="34">
        <v>11</v>
      </c>
      <c r="L21" s="34">
        <v>296</v>
      </c>
      <c r="M21" s="34">
        <v>0</v>
      </c>
      <c r="N21" s="34">
        <v>3</v>
      </c>
      <c r="O21" s="34">
        <v>247</v>
      </c>
      <c r="P21" s="34">
        <v>0</v>
      </c>
      <c r="Q21" s="34">
        <v>170</v>
      </c>
      <c r="R21" s="34">
        <v>0</v>
      </c>
      <c r="S21" s="34">
        <v>0</v>
      </c>
      <c r="T21" s="34">
        <v>0</v>
      </c>
      <c r="U21" s="34">
        <v>0</v>
      </c>
      <c r="V21" s="34">
        <v>0</v>
      </c>
      <c r="W21" s="34">
        <v>5</v>
      </c>
      <c r="X21" s="34">
        <v>2</v>
      </c>
      <c r="Y21" s="34">
        <v>5</v>
      </c>
      <c r="Z21" s="34">
        <v>0</v>
      </c>
      <c r="AA21" s="34">
        <v>0</v>
      </c>
      <c r="AB21" s="34">
        <v>0</v>
      </c>
      <c r="AC21" s="34">
        <v>2</v>
      </c>
      <c r="AD21" s="34">
        <v>0</v>
      </c>
      <c r="AE21" s="34">
        <v>0</v>
      </c>
      <c r="AF21" s="34">
        <v>2</v>
      </c>
      <c r="AG21" s="34">
        <v>4</v>
      </c>
      <c r="AH21" s="34">
        <v>0</v>
      </c>
      <c r="AI21" s="34">
        <v>0</v>
      </c>
      <c r="AJ21" s="34">
        <v>0</v>
      </c>
      <c r="AK21" s="34">
        <v>0</v>
      </c>
      <c r="AL21" s="34">
        <v>0</v>
      </c>
      <c r="AM21" s="34">
        <v>0</v>
      </c>
      <c r="AN21" s="34">
        <f t="shared" si="0"/>
        <v>835</v>
      </c>
    </row>
    <row r="22" spans="1:40" ht="21" x14ac:dyDescent="0.35">
      <c r="A22" s="30">
        <v>19</v>
      </c>
      <c r="B22" s="31" t="s">
        <v>490</v>
      </c>
      <c r="C22" s="34">
        <v>125</v>
      </c>
      <c r="D22" s="34"/>
      <c r="E22" s="34">
        <v>27</v>
      </c>
      <c r="F22" s="34">
        <v>0</v>
      </c>
      <c r="G22" s="34"/>
      <c r="H22" s="34">
        <v>5</v>
      </c>
      <c r="I22" s="34"/>
      <c r="J22" s="34">
        <v>46</v>
      </c>
      <c r="K22" s="34">
        <v>32</v>
      </c>
      <c r="L22" s="34">
        <v>551</v>
      </c>
      <c r="M22" s="34">
        <v>6</v>
      </c>
      <c r="N22" s="34">
        <v>2</v>
      </c>
      <c r="O22" s="34">
        <v>392</v>
      </c>
      <c r="P22" s="34"/>
      <c r="Q22" s="34">
        <v>278</v>
      </c>
      <c r="R22" s="34"/>
      <c r="S22" s="34"/>
      <c r="T22" s="34">
        <v>1</v>
      </c>
      <c r="U22" s="34"/>
      <c r="V22" s="34"/>
      <c r="W22" s="34">
        <v>16</v>
      </c>
      <c r="X22" s="34"/>
      <c r="Y22" s="34">
        <v>2</v>
      </c>
      <c r="Z22" s="34">
        <v>2</v>
      </c>
      <c r="AA22" s="34"/>
      <c r="AB22" s="34">
        <v>9</v>
      </c>
      <c r="AC22" s="34">
        <v>2</v>
      </c>
      <c r="AD22" s="34">
        <v>6</v>
      </c>
      <c r="AE22" s="34">
        <v>1</v>
      </c>
      <c r="AF22" s="34">
        <v>7</v>
      </c>
      <c r="AG22" s="34">
        <v>7</v>
      </c>
      <c r="AH22" s="34"/>
      <c r="AI22" s="34"/>
      <c r="AJ22" s="34"/>
      <c r="AK22" s="34"/>
      <c r="AL22" s="34"/>
      <c r="AM22" s="34">
        <v>5</v>
      </c>
      <c r="AN22" s="34">
        <f t="shared" si="0"/>
        <v>1522</v>
      </c>
    </row>
    <row r="23" spans="1:40" ht="21" x14ac:dyDescent="0.35">
      <c r="A23" s="30">
        <v>20</v>
      </c>
      <c r="B23" s="31" t="s">
        <v>499</v>
      </c>
      <c r="C23" s="34">
        <v>33</v>
      </c>
      <c r="D23" s="34"/>
      <c r="E23" s="34">
        <v>25</v>
      </c>
      <c r="F23" s="34"/>
      <c r="G23" s="34"/>
      <c r="H23" s="34">
        <v>4</v>
      </c>
      <c r="I23" s="34"/>
      <c r="J23" s="34">
        <v>14</v>
      </c>
      <c r="K23" s="34">
        <v>15</v>
      </c>
      <c r="L23" s="34">
        <v>116</v>
      </c>
      <c r="M23" s="34">
        <v>7</v>
      </c>
      <c r="N23" s="34"/>
      <c r="O23" s="34">
        <v>123</v>
      </c>
      <c r="P23" s="34"/>
      <c r="Q23" s="34">
        <v>375</v>
      </c>
      <c r="R23" s="34"/>
      <c r="S23" s="34"/>
      <c r="T23" s="34"/>
      <c r="U23" s="34"/>
      <c r="V23" s="34"/>
      <c r="W23" s="34">
        <v>9</v>
      </c>
      <c r="X23" s="34">
        <v>1</v>
      </c>
      <c r="Y23" s="34">
        <v>2</v>
      </c>
      <c r="Z23" s="34">
        <v>6</v>
      </c>
      <c r="AA23" s="34">
        <v>2</v>
      </c>
      <c r="AB23" s="34">
        <v>2</v>
      </c>
      <c r="AC23" s="34">
        <v>1</v>
      </c>
      <c r="AD23" s="34">
        <v>2</v>
      </c>
      <c r="AE23" s="34">
        <v>2</v>
      </c>
      <c r="AF23" s="34">
        <v>3</v>
      </c>
      <c r="AG23" s="34">
        <v>4</v>
      </c>
      <c r="AH23" s="34"/>
      <c r="AI23" s="34">
        <v>1</v>
      </c>
      <c r="AJ23" s="34"/>
      <c r="AK23" s="34"/>
      <c r="AL23" s="34"/>
      <c r="AM23" s="34">
        <v>1</v>
      </c>
      <c r="AN23" s="34">
        <f t="shared" si="0"/>
        <v>748</v>
      </c>
    </row>
    <row r="24" spans="1:40" ht="21" x14ac:dyDescent="0.35">
      <c r="A24" s="30">
        <v>21</v>
      </c>
      <c r="B24" s="31" t="s">
        <v>577</v>
      </c>
      <c r="C24" s="34">
        <v>358</v>
      </c>
      <c r="D24" s="34">
        <v>4</v>
      </c>
      <c r="E24" s="34">
        <v>52</v>
      </c>
      <c r="F24" s="34">
        <v>0</v>
      </c>
      <c r="G24" s="34">
        <v>0</v>
      </c>
      <c r="H24" s="34">
        <v>37</v>
      </c>
      <c r="I24" s="34">
        <v>0</v>
      </c>
      <c r="J24" s="34">
        <v>30</v>
      </c>
      <c r="K24" s="34">
        <v>100</v>
      </c>
      <c r="L24" s="34">
        <v>1036</v>
      </c>
      <c r="M24" s="34">
        <v>11</v>
      </c>
      <c r="N24" s="34">
        <v>5</v>
      </c>
      <c r="O24" s="34">
        <v>1907</v>
      </c>
      <c r="P24" s="34">
        <v>0</v>
      </c>
      <c r="Q24" s="34">
        <v>1210</v>
      </c>
      <c r="R24" s="34">
        <v>0</v>
      </c>
      <c r="S24" s="34">
        <v>0</v>
      </c>
      <c r="T24" s="34">
        <v>2</v>
      </c>
      <c r="U24" s="34">
        <v>2</v>
      </c>
      <c r="V24" s="34">
        <v>0</v>
      </c>
      <c r="W24" s="34">
        <v>32</v>
      </c>
      <c r="X24" s="34">
        <v>22</v>
      </c>
      <c r="Y24" s="34">
        <v>0</v>
      </c>
      <c r="Z24" s="34">
        <v>4</v>
      </c>
      <c r="AA24" s="34">
        <v>1</v>
      </c>
      <c r="AB24" s="34">
        <v>1</v>
      </c>
      <c r="AC24" s="34">
        <v>4</v>
      </c>
      <c r="AD24" s="34">
        <v>31</v>
      </c>
      <c r="AE24" s="34">
        <v>6</v>
      </c>
      <c r="AF24" s="34">
        <v>4</v>
      </c>
      <c r="AG24" s="34">
        <v>18</v>
      </c>
      <c r="AH24" s="34">
        <v>0</v>
      </c>
      <c r="AI24" s="34">
        <v>0</v>
      </c>
      <c r="AJ24" s="34">
        <v>0</v>
      </c>
      <c r="AK24" s="34">
        <v>0</v>
      </c>
      <c r="AL24" s="34">
        <v>0</v>
      </c>
      <c r="AM24" s="34">
        <v>3</v>
      </c>
      <c r="AN24" s="34">
        <f t="shared" si="0"/>
        <v>4880</v>
      </c>
    </row>
    <row r="25" spans="1:40" ht="31.5" x14ac:dyDescent="0.5">
      <c r="A25" s="30"/>
      <c r="B25" s="31" t="s">
        <v>332</v>
      </c>
      <c r="C25" s="34">
        <f t="shared" ref="C25:AM25" si="1">SUM(C4:C24)</f>
        <v>3764</v>
      </c>
      <c r="D25" s="34">
        <f t="shared" si="1"/>
        <v>116</v>
      </c>
      <c r="E25" s="34">
        <f t="shared" si="1"/>
        <v>732</v>
      </c>
      <c r="F25" s="34">
        <f t="shared" si="1"/>
        <v>14</v>
      </c>
      <c r="G25" s="34">
        <f t="shared" si="1"/>
        <v>46</v>
      </c>
      <c r="H25" s="34">
        <f t="shared" si="1"/>
        <v>461</v>
      </c>
      <c r="I25" s="34">
        <f t="shared" si="1"/>
        <v>6</v>
      </c>
      <c r="J25" s="34">
        <f t="shared" si="1"/>
        <v>596</v>
      </c>
      <c r="K25" s="34">
        <f t="shared" si="1"/>
        <v>1030</v>
      </c>
      <c r="L25" s="34">
        <f t="shared" si="1"/>
        <v>13545</v>
      </c>
      <c r="M25" s="34">
        <f t="shared" si="1"/>
        <v>217</v>
      </c>
      <c r="N25" s="34">
        <f t="shared" si="1"/>
        <v>29</v>
      </c>
      <c r="O25" s="34">
        <f t="shared" si="1"/>
        <v>19403</v>
      </c>
      <c r="P25" s="34">
        <f t="shared" si="1"/>
        <v>20</v>
      </c>
      <c r="Q25" s="34">
        <f t="shared" si="1"/>
        <v>9892</v>
      </c>
      <c r="R25" s="34">
        <f t="shared" si="1"/>
        <v>6</v>
      </c>
      <c r="S25" s="34">
        <f t="shared" si="1"/>
        <v>38</v>
      </c>
      <c r="T25" s="34">
        <f t="shared" si="1"/>
        <v>21</v>
      </c>
      <c r="U25" s="34">
        <f t="shared" si="1"/>
        <v>16</v>
      </c>
      <c r="V25" s="34">
        <f t="shared" si="1"/>
        <v>9</v>
      </c>
      <c r="W25" s="34">
        <f t="shared" si="1"/>
        <v>438</v>
      </c>
      <c r="X25" s="34">
        <f t="shared" si="1"/>
        <v>58</v>
      </c>
      <c r="Y25" s="34">
        <f t="shared" si="1"/>
        <v>25</v>
      </c>
      <c r="Z25" s="34">
        <f t="shared" si="1"/>
        <v>46</v>
      </c>
      <c r="AA25" s="34">
        <f t="shared" si="1"/>
        <v>14</v>
      </c>
      <c r="AB25" s="34">
        <f t="shared" si="1"/>
        <v>49</v>
      </c>
      <c r="AC25" s="34">
        <f t="shared" si="1"/>
        <v>50</v>
      </c>
      <c r="AD25" s="34">
        <f t="shared" si="1"/>
        <v>188</v>
      </c>
      <c r="AE25" s="34">
        <f t="shared" si="1"/>
        <v>58</v>
      </c>
      <c r="AF25" s="34">
        <f t="shared" si="1"/>
        <v>124</v>
      </c>
      <c r="AG25" s="34">
        <f t="shared" si="1"/>
        <v>165</v>
      </c>
      <c r="AH25" s="34">
        <f t="shared" si="1"/>
        <v>4</v>
      </c>
      <c r="AI25" s="34">
        <f t="shared" si="1"/>
        <v>33</v>
      </c>
      <c r="AJ25" s="34">
        <f t="shared" si="1"/>
        <v>2</v>
      </c>
      <c r="AK25" s="34">
        <f t="shared" si="1"/>
        <v>1</v>
      </c>
      <c r="AL25" s="34">
        <f t="shared" si="1"/>
        <v>3</v>
      </c>
      <c r="AM25" s="34">
        <f t="shared" si="1"/>
        <v>51</v>
      </c>
      <c r="AN25" s="35">
        <f t="shared" ref="AN25" si="2">SUM(AN4:AN24)</f>
        <v>51270</v>
      </c>
    </row>
    <row r="26" spans="1:40" ht="21" x14ac:dyDescent="0.35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</row>
  </sheetData>
  <mergeCells count="6">
    <mergeCell ref="AG2:AI2"/>
    <mergeCell ref="C2:E2"/>
    <mergeCell ref="I2:K2"/>
    <mergeCell ref="O2:Q2"/>
    <mergeCell ref="U2:W2"/>
    <mergeCell ref="AA2:AC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SCHOOLS SUMMARIES</vt:lpstr>
      <vt:lpstr>STATE OF ORIGIN</vt:lpstr>
      <vt:lpstr>DATA SUMMARIES</vt:lpstr>
      <vt:lpstr>DEMOGRAPHY SUMMARIES</vt:lpstr>
    </vt:vector>
  </TitlesOfParts>
  <Company>HP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ICT Agency</dc:creator>
  <cp:lastModifiedBy>so la</cp:lastModifiedBy>
  <dcterms:created xsi:type="dcterms:W3CDTF">2024-01-26T10:53:57Z</dcterms:created>
  <dcterms:modified xsi:type="dcterms:W3CDTF">2025-03-03T15:38:18Z</dcterms:modified>
</cp:coreProperties>
</file>