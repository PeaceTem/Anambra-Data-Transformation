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Education\data\"/>
    </mc:Choice>
  </mc:AlternateContent>
  <xr:revisionPtr revIDLastSave="0" documentId="13_ncr:1_{D3684C31-9B33-486C-A310-5CC0AFE0D6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E28" i="1"/>
  <c r="W33" i="3"/>
  <c r="V33" i="3"/>
  <c r="T33" i="3"/>
  <c r="S33" i="3"/>
  <c r="R33" i="3"/>
  <c r="Q33" i="3"/>
  <c r="P33" i="3"/>
  <c r="O33" i="3"/>
  <c r="N33" i="3"/>
  <c r="M33" i="3"/>
  <c r="K33" i="3"/>
  <c r="J33" i="3"/>
  <c r="I33" i="3"/>
  <c r="H33" i="3"/>
  <c r="G33" i="3"/>
  <c r="F33" i="3"/>
  <c r="E33" i="3"/>
  <c r="D33" i="3"/>
  <c r="X31" i="3"/>
  <c r="U31" i="3"/>
  <c r="L31" i="3"/>
  <c r="X30" i="3"/>
  <c r="U30" i="3"/>
  <c r="L30" i="3"/>
  <c r="X27" i="3"/>
  <c r="U27" i="3"/>
  <c r="L27" i="3"/>
  <c r="X26" i="3"/>
  <c r="U26" i="3"/>
  <c r="L26" i="3"/>
  <c r="X25" i="3"/>
  <c r="U25" i="3"/>
  <c r="L25" i="3"/>
  <c r="X23" i="3"/>
  <c r="U23" i="3"/>
  <c r="L23" i="3"/>
  <c r="X22" i="3"/>
  <c r="U22" i="3"/>
  <c r="L22" i="3"/>
  <c r="X21" i="3"/>
  <c r="U21" i="3"/>
  <c r="L21" i="3"/>
  <c r="X19" i="3"/>
  <c r="U19" i="3"/>
  <c r="L19" i="3"/>
  <c r="X18" i="3"/>
  <c r="U18" i="3"/>
  <c r="L18" i="3"/>
  <c r="X14" i="3"/>
  <c r="U14" i="3"/>
  <c r="L14" i="3"/>
  <c r="X12" i="3"/>
  <c r="U12" i="3"/>
  <c r="L12" i="3"/>
  <c r="X10" i="3"/>
  <c r="U10" i="3"/>
  <c r="L10" i="3"/>
  <c r="X9" i="3"/>
  <c r="U9" i="3"/>
  <c r="L9" i="3"/>
  <c r="X8" i="3"/>
  <c r="X7" i="3"/>
  <c r="L7" i="3"/>
  <c r="L33" i="3" s="1"/>
  <c r="W9" i="2"/>
  <c r="V9" i="2"/>
  <c r="R9" i="2"/>
  <c r="Q9" i="2"/>
  <c r="P9" i="2"/>
  <c r="O9" i="2"/>
  <c r="N9" i="2"/>
  <c r="M9" i="2"/>
  <c r="I9" i="2"/>
  <c r="H9" i="2"/>
  <c r="G9" i="2"/>
  <c r="F9" i="2"/>
  <c r="E9" i="2"/>
  <c r="D9" i="2"/>
  <c r="X8" i="2"/>
  <c r="X9" i="2" s="1"/>
  <c r="T8" i="2"/>
  <c r="T9" i="2" s="1"/>
  <c r="K8" i="2"/>
  <c r="L8" i="2" s="1"/>
  <c r="S7" i="2"/>
  <c r="S9" i="2" s="1"/>
  <c r="J7" i="2"/>
  <c r="L7" i="2" s="1"/>
  <c r="L9" i="2" s="1"/>
  <c r="U33" i="3" l="1"/>
  <c r="X33" i="3"/>
  <c r="U7" i="2"/>
  <c r="U8" i="2"/>
  <c r="J9" i="2"/>
  <c r="K9" i="2"/>
  <c r="U9" i="2" l="1"/>
</calcChain>
</file>

<file path=xl/sharedStrings.xml><?xml version="1.0" encoding="utf-8"?>
<sst xmlns="http://schemas.openxmlformats.org/spreadsheetml/2006/main" count="219" uniqueCount="51">
  <si>
    <t>ANAMBRA STATE PUBLIC SCHOOLS STUDENT'S ENROLMENT</t>
  </si>
  <si>
    <t>PPSSC, OTUOCHA ZONE</t>
  </si>
  <si>
    <t>MARCH POPULATION OF STUDENTS</t>
  </si>
  <si>
    <t>S/NO</t>
  </si>
  <si>
    <t>NAME OF SCHOOL</t>
  </si>
  <si>
    <t>LGA</t>
  </si>
  <si>
    <t>JS</t>
  </si>
  <si>
    <t>TOTAL</t>
  </si>
  <si>
    <t>SS</t>
  </si>
  <si>
    <t>Grand Total</t>
  </si>
  <si>
    <t>I</t>
  </si>
  <si>
    <t>II</t>
  </si>
  <si>
    <t>III</t>
  </si>
  <si>
    <t>M</t>
  </si>
  <si>
    <t>F</t>
  </si>
  <si>
    <t>T</t>
  </si>
  <si>
    <t>FR JOSEPH MEMORIAL SECONDARY SCHOOL, AGULERI</t>
  </si>
  <si>
    <t>ANAMBRA EAST</t>
  </si>
  <si>
    <t>STELLA MARIS COLLEGE, UMUERI</t>
  </si>
  <si>
    <t>JUSTICE CHINWUBA MEM. SEC. SCHOOL, AGULERI</t>
  </si>
  <si>
    <t>GOVT. TECHNICAL COLLEGE, UMUERI</t>
  </si>
  <si>
    <t>COM. SEC. SCHOOL, UMUOBA ANAM</t>
  </si>
  <si>
    <t>COM. SEC. SCHOOL, IFITE UMUERI</t>
  </si>
  <si>
    <t>COM. SEC SCHOOL, NANDO</t>
  </si>
  <si>
    <t>COM. HIGH SCHOOL, NSUGBE</t>
  </si>
  <si>
    <t>COM. HIGH SCHOOL. IGBARIAM</t>
  </si>
  <si>
    <t>COL, MIKE ATTAH SEC SCHOOL, ENUGU OUT</t>
  </si>
  <si>
    <t>WILLIE OBIANO SEC. SCHOOL, AGULERI</t>
  </si>
  <si>
    <t>OGBE HIGH SCHOOL,  ANAKU</t>
  </si>
  <si>
    <t>AYAMELUM</t>
  </si>
  <si>
    <t>AMIKWE COM. SEC. SCHOOL, OMOR</t>
  </si>
  <si>
    <t>COM. SEC. SCHOOL. OMOR</t>
  </si>
  <si>
    <t>COM. SEC. SCHOOL,  IGBAKWU</t>
  </si>
  <si>
    <t>COM. SEC. SCHOOL,  IFITE OGWARI</t>
  </si>
  <si>
    <t>COM. SEC. SCHOOL,  UMUMBO</t>
  </si>
  <si>
    <t>RIVERSIDE SEC. SCHOOL,  UMERUM</t>
  </si>
  <si>
    <t>UNIVERSAL SEC. SCHOOL,  OMASI</t>
  </si>
  <si>
    <t>COM. SEC. SCHOOL,  UMUEJE</t>
  </si>
  <si>
    <t>COMMUNITY SECONDARY SCHOOL,  UMUEZE ANAM</t>
  </si>
  <si>
    <t>ANAMBRA WEST</t>
  </si>
  <si>
    <t>COMMUNITY SECONDARY SCHOOL,  IFITE ANAM MMIATA</t>
  </si>
  <si>
    <t>ANAM HIGH SCHOOL,  OROMA ETITI</t>
  </si>
  <si>
    <t>CHRIST THE KING COLLEGE,  UMUEM</t>
  </si>
  <si>
    <t>UDAMA COMMUNITY SECONDARY SCHOOL,  INOMA AKATOR</t>
  </si>
  <si>
    <t>COMMUNITY COMPREHENSIVE SECONDARY SCHOOL, NZAM</t>
  </si>
  <si>
    <t>COMMUNITY SECONDARY SCHOOL,  IGBEDOR</t>
  </si>
  <si>
    <t>COMMUNITY SECONDARY SCHOOL,  OWELLE</t>
  </si>
  <si>
    <t>JANUARY POPULATION OF STUDENTS</t>
  </si>
  <si>
    <t>ZONE</t>
  </si>
  <si>
    <t>OTUOCHA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</si>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</sst>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4"/>
      <name val="Calibri"/>
      <family val="2"/>
      <scheme val="minor"/>
    </font>
    <font>
      <b/>
      <sz val="14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5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3" borderId="2" xfId="1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wrapText="1"/>
    </xf>
    <xf numFmtId="0" fontId="7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wrapText="1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15" fillId="0" borderId="2" xfId="0" applyFont="1" applyBorder="1"/>
    <xf numFmtId="0" fontId="10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left"/>
    </xf>
    <xf numFmtId="0" fontId="0" fillId="0" borderId="2" xfId="0" applyBorder="1"/>
    <xf numFmtId="0" fontId="16" fillId="2" borderId="13" xfId="0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top" wrapText="1"/>
    </xf>
    <xf numFmtId="0" fontId="9" fillId="3" borderId="2" xfId="1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5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F3" sqref="F3"/>
    </sheetView>
  </sheetViews>
  <sheetFormatPr defaultRowHeight="15" x14ac:dyDescent="0.25"/>
  <cols>
    <col min="1" max="1" width="6.42578125" customWidth="1"/>
    <col min="2" max="2" width="58.5703125" customWidth="1"/>
    <col min="3" max="3" width="21.5703125" customWidth="1"/>
    <col min="4" max="4" width="13.42578125" customWidth="1"/>
  </cols>
  <sheetData>
    <row r="1" spans="1:6" ht="18.75" x14ac:dyDescent="0.3">
      <c r="A1" s="31" t="s">
        <v>50</v>
      </c>
      <c r="B1" s="31" t="s">
        <v>4</v>
      </c>
      <c r="C1" s="31" t="s">
        <v>5</v>
      </c>
      <c r="D1" s="31" t="s">
        <v>48</v>
      </c>
      <c r="E1" s="9" t="s">
        <v>13</v>
      </c>
      <c r="F1" s="9" t="s">
        <v>14</v>
      </c>
    </row>
    <row r="2" spans="1:6" ht="18.75" x14ac:dyDescent="0.3">
      <c r="A2" s="4">
        <v>1</v>
      </c>
      <c r="B2" s="5" t="s">
        <v>19</v>
      </c>
      <c r="C2" s="32" t="s">
        <v>17</v>
      </c>
      <c r="D2" s="6" t="s">
        <v>49</v>
      </c>
      <c r="E2" s="9">
        <v>437</v>
      </c>
      <c r="F2" s="9">
        <v>474</v>
      </c>
    </row>
    <row r="3" spans="1:6" ht="18.75" x14ac:dyDescent="0.3">
      <c r="A3" s="4">
        <v>2</v>
      </c>
      <c r="B3" s="5" t="s">
        <v>20</v>
      </c>
      <c r="C3" s="32" t="s">
        <v>17</v>
      </c>
      <c r="D3" s="6" t="s">
        <v>49</v>
      </c>
      <c r="E3" s="9">
        <v>263</v>
      </c>
      <c r="F3" s="9">
        <v>234</v>
      </c>
    </row>
    <row r="4" spans="1:6" ht="18.75" x14ac:dyDescent="0.3">
      <c r="A4" s="4">
        <v>3</v>
      </c>
      <c r="B4" s="12" t="s">
        <v>21</v>
      </c>
      <c r="C4" s="33" t="s">
        <v>17</v>
      </c>
      <c r="D4" s="6" t="s">
        <v>49</v>
      </c>
      <c r="E4" s="9">
        <v>276</v>
      </c>
      <c r="F4" s="9">
        <v>396</v>
      </c>
    </row>
    <row r="5" spans="1:6" ht="18.75" x14ac:dyDescent="0.3">
      <c r="A5" s="4">
        <v>4</v>
      </c>
      <c r="B5" s="5" t="s">
        <v>22</v>
      </c>
      <c r="C5" s="32" t="s">
        <v>17</v>
      </c>
      <c r="D5" s="6" t="s">
        <v>49</v>
      </c>
      <c r="E5" s="9">
        <v>233</v>
      </c>
      <c r="F5" s="9">
        <v>284</v>
      </c>
    </row>
    <row r="6" spans="1:6" ht="18.75" x14ac:dyDescent="0.3">
      <c r="A6" s="4">
        <v>5</v>
      </c>
      <c r="B6" s="12" t="s">
        <v>23</v>
      </c>
      <c r="C6" s="33" t="s">
        <v>17</v>
      </c>
      <c r="D6" s="6" t="s">
        <v>49</v>
      </c>
      <c r="E6" s="9">
        <v>283</v>
      </c>
      <c r="F6" s="9">
        <v>273</v>
      </c>
    </row>
    <row r="7" spans="1:6" ht="18.75" x14ac:dyDescent="0.3">
      <c r="A7" s="4">
        <v>6</v>
      </c>
      <c r="B7" s="5" t="s">
        <v>24</v>
      </c>
      <c r="C7" s="32" t="s">
        <v>17</v>
      </c>
      <c r="D7" s="6" t="s">
        <v>49</v>
      </c>
      <c r="E7" s="9">
        <v>268</v>
      </c>
      <c r="F7" s="9">
        <v>224</v>
      </c>
    </row>
    <row r="8" spans="1:6" ht="18.75" x14ac:dyDescent="0.3">
      <c r="A8" s="4">
        <v>7</v>
      </c>
      <c r="B8" s="5" t="s">
        <v>25</v>
      </c>
      <c r="C8" s="32" t="s">
        <v>17</v>
      </c>
      <c r="D8" s="6" t="s">
        <v>49</v>
      </c>
      <c r="E8" s="9">
        <v>140</v>
      </c>
      <c r="F8" s="9">
        <v>149</v>
      </c>
    </row>
    <row r="9" spans="1:6" ht="18.75" x14ac:dyDescent="0.3">
      <c r="A9" s="4">
        <v>8</v>
      </c>
      <c r="B9" s="5" t="s">
        <v>26</v>
      </c>
      <c r="C9" s="32" t="s">
        <v>17</v>
      </c>
      <c r="D9" s="6" t="s">
        <v>49</v>
      </c>
      <c r="E9" s="9">
        <v>107</v>
      </c>
      <c r="F9" s="9">
        <v>141</v>
      </c>
    </row>
    <row r="10" spans="1:6" ht="18.75" x14ac:dyDescent="0.3">
      <c r="A10" s="4">
        <v>9</v>
      </c>
      <c r="B10" s="16" t="s">
        <v>27</v>
      </c>
      <c r="C10" s="34" t="s">
        <v>17</v>
      </c>
      <c r="D10" s="6" t="s">
        <v>49</v>
      </c>
      <c r="E10" s="9">
        <v>292</v>
      </c>
      <c r="F10" s="9">
        <v>383</v>
      </c>
    </row>
    <row r="11" spans="1:6" ht="18.75" x14ac:dyDescent="0.3">
      <c r="A11" s="4">
        <v>10</v>
      </c>
      <c r="B11" s="20" t="s">
        <v>28</v>
      </c>
      <c r="C11" s="34" t="s">
        <v>29</v>
      </c>
      <c r="D11" s="6" t="s">
        <v>49</v>
      </c>
      <c r="E11" s="9">
        <v>117</v>
      </c>
      <c r="F11" s="9">
        <v>157</v>
      </c>
    </row>
    <row r="12" spans="1:6" ht="18.75" x14ac:dyDescent="0.3">
      <c r="A12" s="4">
        <v>11</v>
      </c>
      <c r="B12" s="20" t="s">
        <v>30</v>
      </c>
      <c r="C12" s="34" t="s">
        <v>29</v>
      </c>
      <c r="D12" s="6" t="s">
        <v>49</v>
      </c>
      <c r="E12" s="9">
        <v>442</v>
      </c>
      <c r="F12" s="9">
        <v>542</v>
      </c>
    </row>
    <row r="13" spans="1:6" ht="18.75" x14ac:dyDescent="0.3">
      <c r="A13" s="4">
        <v>12</v>
      </c>
      <c r="B13" s="20" t="s">
        <v>31</v>
      </c>
      <c r="C13" s="34" t="s">
        <v>29</v>
      </c>
      <c r="D13" s="6" t="s">
        <v>49</v>
      </c>
      <c r="E13" s="9">
        <v>419</v>
      </c>
      <c r="F13" s="9">
        <v>445</v>
      </c>
    </row>
    <row r="14" spans="1:6" ht="18.75" x14ac:dyDescent="0.3">
      <c r="A14" s="4">
        <v>13</v>
      </c>
      <c r="B14" s="20" t="s">
        <v>32</v>
      </c>
      <c r="C14" s="34" t="s">
        <v>29</v>
      </c>
      <c r="D14" s="6" t="s">
        <v>49</v>
      </c>
      <c r="E14" s="9">
        <v>136</v>
      </c>
      <c r="F14" s="9">
        <v>116</v>
      </c>
    </row>
    <row r="15" spans="1:6" ht="18.75" x14ac:dyDescent="0.3">
      <c r="A15" s="4">
        <v>14</v>
      </c>
      <c r="B15" s="20" t="s">
        <v>33</v>
      </c>
      <c r="C15" s="34" t="s">
        <v>29</v>
      </c>
      <c r="D15" s="6" t="s">
        <v>49</v>
      </c>
      <c r="E15" s="9">
        <v>249</v>
      </c>
      <c r="F15" s="9">
        <v>248</v>
      </c>
    </row>
    <row r="16" spans="1:6" ht="18.75" x14ac:dyDescent="0.3">
      <c r="A16" s="4">
        <v>15</v>
      </c>
      <c r="B16" s="20" t="s">
        <v>34</v>
      </c>
      <c r="C16" s="34" t="s">
        <v>29</v>
      </c>
      <c r="D16" s="6" t="s">
        <v>49</v>
      </c>
      <c r="E16" s="9">
        <v>99</v>
      </c>
      <c r="F16" s="9">
        <v>99</v>
      </c>
    </row>
    <row r="17" spans="1:6" ht="18.75" x14ac:dyDescent="0.3">
      <c r="A17" s="4">
        <v>16</v>
      </c>
      <c r="B17" s="20" t="s">
        <v>35</v>
      </c>
      <c r="C17" s="34" t="s">
        <v>29</v>
      </c>
      <c r="D17" s="6" t="s">
        <v>49</v>
      </c>
      <c r="E17" s="9">
        <v>82</v>
      </c>
      <c r="F17" s="9">
        <v>64</v>
      </c>
    </row>
    <row r="18" spans="1:6" ht="18.75" x14ac:dyDescent="0.3">
      <c r="A18" s="4">
        <v>17</v>
      </c>
      <c r="B18" s="20" t="s">
        <v>36</v>
      </c>
      <c r="C18" s="34" t="s">
        <v>29</v>
      </c>
      <c r="D18" s="6" t="s">
        <v>49</v>
      </c>
      <c r="E18" s="9">
        <v>46</v>
      </c>
      <c r="F18" s="9">
        <v>50</v>
      </c>
    </row>
    <row r="19" spans="1:6" ht="18.75" x14ac:dyDescent="0.3">
      <c r="A19" s="4">
        <v>18</v>
      </c>
      <c r="B19" s="20" t="s">
        <v>37</v>
      </c>
      <c r="C19" s="34" t="s">
        <v>29</v>
      </c>
      <c r="D19" s="6" t="s">
        <v>49</v>
      </c>
      <c r="E19" s="9">
        <v>31</v>
      </c>
      <c r="F19" s="9">
        <v>37</v>
      </c>
    </row>
    <row r="20" spans="1:6" ht="18.75" x14ac:dyDescent="0.3">
      <c r="A20" s="4">
        <v>19</v>
      </c>
      <c r="B20" s="21" t="s">
        <v>38</v>
      </c>
      <c r="C20" s="35" t="s">
        <v>39</v>
      </c>
      <c r="D20" s="6" t="s">
        <v>49</v>
      </c>
      <c r="E20" s="9">
        <v>124</v>
      </c>
      <c r="F20" s="9">
        <v>196</v>
      </c>
    </row>
    <row r="21" spans="1:6" ht="18.75" x14ac:dyDescent="0.3">
      <c r="A21" s="4">
        <v>20</v>
      </c>
      <c r="B21" s="21" t="s">
        <v>40</v>
      </c>
      <c r="C21" s="35" t="s">
        <v>39</v>
      </c>
      <c r="D21" s="6" t="s">
        <v>49</v>
      </c>
      <c r="E21" s="9">
        <v>184</v>
      </c>
      <c r="F21" s="9">
        <v>209</v>
      </c>
    </row>
    <row r="22" spans="1:6" ht="18.75" x14ac:dyDescent="0.3">
      <c r="A22" s="4">
        <v>21</v>
      </c>
      <c r="B22" s="21" t="s">
        <v>41</v>
      </c>
      <c r="C22" s="35" t="s">
        <v>39</v>
      </c>
      <c r="D22" s="6" t="s">
        <v>49</v>
      </c>
      <c r="E22" s="9">
        <v>120</v>
      </c>
      <c r="F22" s="9">
        <v>168</v>
      </c>
    </row>
    <row r="23" spans="1:6" ht="18.75" x14ac:dyDescent="0.3">
      <c r="A23" s="4">
        <v>22</v>
      </c>
      <c r="B23" s="21" t="s">
        <v>42</v>
      </c>
      <c r="C23" s="35" t="s">
        <v>39</v>
      </c>
      <c r="D23" s="6" t="s">
        <v>49</v>
      </c>
      <c r="E23" s="9">
        <v>127</v>
      </c>
      <c r="F23" s="9">
        <v>114</v>
      </c>
    </row>
    <row r="24" spans="1:6" ht="31.5" x14ac:dyDescent="0.3">
      <c r="A24" s="4">
        <v>23</v>
      </c>
      <c r="B24" s="21" t="s">
        <v>43</v>
      </c>
      <c r="C24" s="35" t="s">
        <v>39</v>
      </c>
      <c r="D24" s="6" t="s">
        <v>49</v>
      </c>
      <c r="E24" s="9">
        <v>72</v>
      </c>
      <c r="F24" s="9">
        <v>51</v>
      </c>
    </row>
    <row r="25" spans="1:6" ht="31.5" x14ac:dyDescent="0.3">
      <c r="A25" s="4">
        <v>24</v>
      </c>
      <c r="B25" s="21" t="s">
        <v>44</v>
      </c>
      <c r="C25" s="35" t="s">
        <v>39</v>
      </c>
      <c r="D25" s="6" t="s">
        <v>49</v>
      </c>
      <c r="E25" s="9">
        <v>76</v>
      </c>
      <c r="F25" s="9">
        <v>104</v>
      </c>
    </row>
    <row r="26" spans="1:6" ht="18.75" x14ac:dyDescent="0.3">
      <c r="A26" s="4">
        <v>25</v>
      </c>
      <c r="B26" s="21" t="s">
        <v>45</v>
      </c>
      <c r="C26" s="35" t="s">
        <v>39</v>
      </c>
      <c r="D26" s="6" t="s">
        <v>49</v>
      </c>
      <c r="E26" s="9">
        <v>113</v>
      </c>
      <c r="F26" s="9">
        <v>67</v>
      </c>
    </row>
    <row r="27" spans="1:6" ht="18.75" x14ac:dyDescent="0.3">
      <c r="A27" s="4">
        <v>26</v>
      </c>
      <c r="B27" s="21" t="s">
        <v>46</v>
      </c>
      <c r="C27" s="35" t="s">
        <v>39</v>
      </c>
      <c r="D27" s="6" t="s">
        <v>49</v>
      </c>
      <c r="E27" s="9">
        <v>9</v>
      </c>
      <c r="F27" s="9">
        <v>6</v>
      </c>
    </row>
    <row r="28" spans="1:6" ht="18.75" x14ac:dyDescent="0.25">
      <c r="A28" s="30"/>
      <c r="B28" s="36" t="s">
        <v>7</v>
      </c>
      <c r="C28" s="37"/>
      <c r="D28" s="37"/>
      <c r="E28" s="38">
        <f>SUM(E2:E27)</f>
        <v>4745</v>
      </c>
      <c r="F28" s="38">
        <f>SUM(F2:F27)</f>
        <v>5231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workbookViewId="0">
      <selection sqref="A1:X9"/>
    </sheetView>
  </sheetViews>
  <sheetFormatPr defaultRowHeight="15" x14ac:dyDescent="0.25"/>
  <sheetData>
    <row r="1" spans="1:24" ht="18.75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4" ht="18.75" x14ac:dyDescent="0.4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4" ht="18.75" x14ac:dyDescent="0.4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x14ac:dyDescent="0.25">
      <c r="A4" s="43" t="s">
        <v>3</v>
      </c>
      <c r="B4" s="46" t="s">
        <v>4</v>
      </c>
      <c r="C4" s="43" t="s">
        <v>5</v>
      </c>
      <c r="D4" s="41" t="s">
        <v>6</v>
      </c>
      <c r="E4" s="49"/>
      <c r="F4" s="49"/>
      <c r="G4" s="49"/>
      <c r="H4" s="49"/>
      <c r="I4" s="42"/>
      <c r="J4" s="50" t="s">
        <v>7</v>
      </c>
      <c r="K4" s="51"/>
      <c r="L4" s="52"/>
      <c r="M4" s="41" t="s">
        <v>8</v>
      </c>
      <c r="N4" s="49"/>
      <c r="O4" s="49"/>
      <c r="P4" s="49"/>
      <c r="Q4" s="49"/>
      <c r="R4" s="42"/>
      <c r="S4" s="50" t="s">
        <v>7</v>
      </c>
      <c r="T4" s="51"/>
      <c r="U4" s="52"/>
      <c r="V4" s="56" t="s">
        <v>9</v>
      </c>
      <c r="W4" s="57"/>
      <c r="X4" s="58"/>
    </row>
    <row r="5" spans="1:24" x14ac:dyDescent="0.25">
      <c r="A5" s="44"/>
      <c r="B5" s="47"/>
      <c r="C5" s="44"/>
      <c r="D5" s="41" t="s">
        <v>10</v>
      </c>
      <c r="E5" s="42"/>
      <c r="F5" s="41" t="s">
        <v>11</v>
      </c>
      <c r="G5" s="42"/>
      <c r="H5" s="41" t="s">
        <v>12</v>
      </c>
      <c r="I5" s="42"/>
      <c r="J5" s="53"/>
      <c r="K5" s="54"/>
      <c r="L5" s="55"/>
      <c r="M5" s="41" t="s">
        <v>10</v>
      </c>
      <c r="N5" s="42"/>
      <c r="O5" s="41" t="s">
        <v>11</v>
      </c>
      <c r="P5" s="42"/>
      <c r="Q5" s="41" t="s">
        <v>12</v>
      </c>
      <c r="R5" s="42"/>
      <c r="S5" s="53"/>
      <c r="T5" s="54"/>
      <c r="U5" s="55"/>
      <c r="V5" s="59"/>
      <c r="W5" s="60"/>
      <c r="X5" s="61"/>
    </row>
    <row r="6" spans="1:24" ht="18.75" x14ac:dyDescent="0.3">
      <c r="A6" s="45"/>
      <c r="B6" s="48"/>
      <c r="C6" s="45"/>
      <c r="D6" s="1" t="s">
        <v>13</v>
      </c>
      <c r="E6" s="1" t="s">
        <v>14</v>
      </c>
      <c r="F6" s="1" t="s">
        <v>13</v>
      </c>
      <c r="G6" s="1" t="s">
        <v>14</v>
      </c>
      <c r="H6" s="1" t="s">
        <v>13</v>
      </c>
      <c r="I6" s="1" t="s">
        <v>14</v>
      </c>
      <c r="J6" s="2" t="s">
        <v>13</v>
      </c>
      <c r="K6" s="2" t="s">
        <v>14</v>
      </c>
      <c r="L6" s="2" t="s">
        <v>15</v>
      </c>
      <c r="M6" s="1" t="s">
        <v>13</v>
      </c>
      <c r="N6" s="1" t="s">
        <v>14</v>
      </c>
      <c r="O6" s="1" t="s">
        <v>13</v>
      </c>
      <c r="P6" s="1" t="s">
        <v>14</v>
      </c>
      <c r="Q6" s="1" t="s">
        <v>13</v>
      </c>
      <c r="R6" s="1" t="s">
        <v>14</v>
      </c>
      <c r="S6" s="2" t="s">
        <v>13</v>
      </c>
      <c r="T6" s="2" t="s">
        <v>14</v>
      </c>
      <c r="U6" s="2" t="s">
        <v>15</v>
      </c>
      <c r="V6" s="3" t="s">
        <v>13</v>
      </c>
      <c r="W6" s="3" t="s">
        <v>14</v>
      </c>
      <c r="X6" s="3" t="s">
        <v>15</v>
      </c>
    </row>
    <row r="7" spans="1:24" ht="141.75" x14ac:dyDescent="0.3">
      <c r="A7" s="4">
        <v>1</v>
      </c>
      <c r="B7" s="5" t="s">
        <v>16</v>
      </c>
      <c r="C7" s="6" t="s">
        <v>17</v>
      </c>
      <c r="D7" s="7">
        <v>63</v>
      </c>
      <c r="E7" s="7">
        <v>0</v>
      </c>
      <c r="F7" s="7">
        <v>53</v>
      </c>
      <c r="G7" s="7">
        <v>0</v>
      </c>
      <c r="H7" s="7">
        <v>50</v>
      </c>
      <c r="I7" s="7">
        <v>0</v>
      </c>
      <c r="J7" s="8">
        <f>SUM(D7:I7)</f>
        <v>166</v>
      </c>
      <c r="K7" s="8">
        <v>0</v>
      </c>
      <c r="L7" s="8">
        <f>SUM(J7:K7)</f>
        <v>166</v>
      </c>
      <c r="M7" s="7">
        <v>61</v>
      </c>
      <c r="N7" s="7">
        <v>0</v>
      </c>
      <c r="O7" s="7">
        <v>45</v>
      </c>
      <c r="P7" s="7">
        <v>0</v>
      </c>
      <c r="Q7" s="7">
        <v>32</v>
      </c>
      <c r="R7" s="7">
        <v>0</v>
      </c>
      <c r="S7" s="8">
        <f>SUM(M7:R7)</f>
        <v>138</v>
      </c>
      <c r="T7" s="8">
        <v>0</v>
      </c>
      <c r="U7" s="8">
        <f>SUM(S7:T7)</f>
        <v>138</v>
      </c>
      <c r="V7" s="9">
        <v>304</v>
      </c>
      <c r="W7" s="9">
        <v>0</v>
      </c>
      <c r="X7" s="9">
        <v>304</v>
      </c>
    </row>
    <row r="8" spans="1:24" ht="78.75" x14ac:dyDescent="0.3">
      <c r="A8" s="4">
        <v>2</v>
      </c>
      <c r="B8" s="5" t="s">
        <v>18</v>
      </c>
      <c r="C8" s="6" t="s">
        <v>17</v>
      </c>
      <c r="D8" s="10">
        <v>0</v>
      </c>
      <c r="E8" s="10">
        <v>150</v>
      </c>
      <c r="F8" s="10">
        <v>0</v>
      </c>
      <c r="G8" s="10">
        <v>129</v>
      </c>
      <c r="H8" s="10">
        <v>0</v>
      </c>
      <c r="I8" s="10">
        <v>128</v>
      </c>
      <c r="J8" s="11">
        <v>0</v>
      </c>
      <c r="K8" s="11">
        <f>SUM(E8:J8)</f>
        <v>407</v>
      </c>
      <c r="L8" s="11">
        <f>SUM(J8:K8)</f>
        <v>407</v>
      </c>
      <c r="M8" s="10">
        <v>0</v>
      </c>
      <c r="N8" s="10">
        <v>137</v>
      </c>
      <c r="O8" s="10">
        <v>0</v>
      </c>
      <c r="P8" s="10">
        <v>143</v>
      </c>
      <c r="Q8" s="10">
        <v>0</v>
      </c>
      <c r="R8" s="10">
        <v>72</v>
      </c>
      <c r="S8" s="11">
        <v>0</v>
      </c>
      <c r="T8" s="11">
        <f>SUM(M8:S8)</f>
        <v>352</v>
      </c>
      <c r="U8" s="11">
        <f>SUM(S8:T8)</f>
        <v>352</v>
      </c>
      <c r="V8" s="9">
        <v>407</v>
      </c>
      <c r="W8" s="9">
        <v>352</v>
      </c>
      <c r="X8" s="9">
        <f>SUM(V8:W8)</f>
        <v>759</v>
      </c>
    </row>
    <row r="9" spans="1:24" ht="18.75" x14ac:dyDescent="0.3">
      <c r="A9" s="25"/>
      <c r="B9" s="27" t="s">
        <v>7</v>
      </c>
      <c r="C9" s="25"/>
      <c r="D9" s="25">
        <f t="shared" ref="D9:X9" si="0">SUM(D7:D8)</f>
        <v>63</v>
      </c>
      <c r="E9" s="25">
        <f t="shared" si="0"/>
        <v>150</v>
      </c>
      <c r="F9" s="25">
        <f t="shared" si="0"/>
        <v>53</v>
      </c>
      <c r="G9" s="25">
        <f t="shared" si="0"/>
        <v>129</v>
      </c>
      <c r="H9" s="25">
        <f t="shared" si="0"/>
        <v>50</v>
      </c>
      <c r="I9" s="25">
        <f t="shared" si="0"/>
        <v>128</v>
      </c>
      <c r="J9" s="25">
        <f t="shared" si="0"/>
        <v>166</v>
      </c>
      <c r="K9" s="25">
        <f t="shared" si="0"/>
        <v>407</v>
      </c>
      <c r="L9" s="25">
        <f t="shared" si="0"/>
        <v>573</v>
      </c>
      <c r="M9" s="25">
        <f t="shared" si="0"/>
        <v>61</v>
      </c>
      <c r="N9" s="25">
        <f t="shared" si="0"/>
        <v>137</v>
      </c>
      <c r="O9" s="25">
        <f t="shared" si="0"/>
        <v>45</v>
      </c>
      <c r="P9" s="25">
        <f t="shared" si="0"/>
        <v>143</v>
      </c>
      <c r="Q9" s="25">
        <f t="shared" si="0"/>
        <v>32</v>
      </c>
      <c r="R9" s="25">
        <f t="shared" si="0"/>
        <v>72</v>
      </c>
      <c r="S9" s="25">
        <f t="shared" si="0"/>
        <v>138</v>
      </c>
      <c r="T9" s="25">
        <f t="shared" si="0"/>
        <v>352</v>
      </c>
      <c r="U9" s="25">
        <f t="shared" si="0"/>
        <v>490</v>
      </c>
      <c r="V9" s="25">
        <f t="shared" si="0"/>
        <v>711</v>
      </c>
      <c r="W9" s="25">
        <f t="shared" si="0"/>
        <v>352</v>
      </c>
      <c r="X9" s="25">
        <f t="shared" si="0"/>
        <v>1063</v>
      </c>
    </row>
  </sheetData>
  <mergeCells count="17">
    <mergeCell ref="O5:P5"/>
    <mergeCell ref="Q5:R5"/>
    <mergeCell ref="A1:X1"/>
    <mergeCell ref="A2:X2"/>
    <mergeCell ref="A3:X3"/>
    <mergeCell ref="A4:A6"/>
    <mergeCell ref="B4:B6"/>
    <mergeCell ref="C4:C6"/>
    <mergeCell ref="D4:I4"/>
    <mergeCell ref="J4:L5"/>
    <mergeCell ref="M4:R4"/>
    <mergeCell ref="S4:U5"/>
    <mergeCell ref="V4:X5"/>
    <mergeCell ref="D5:E5"/>
    <mergeCell ref="F5:G5"/>
    <mergeCell ref="H5:I5"/>
    <mergeCell ref="M5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3"/>
  <sheetViews>
    <sheetView workbookViewId="0">
      <selection sqref="A1:X33"/>
    </sheetView>
  </sheetViews>
  <sheetFormatPr defaultRowHeight="15" x14ac:dyDescent="0.25"/>
  <sheetData>
    <row r="1" spans="1:24" ht="18.75" x14ac:dyDescent="0.4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4" ht="18.75" x14ac:dyDescent="0.4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4" ht="18.75" x14ac:dyDescent="0.4">
      <c r="A3" s="40" t="s">
        <v>47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x14ac:dyDescent="0.25">
      <c r="A4" s="62" t="s">
        <v>3</v>
      </c>
      <c r="B4" s="63" t="s">
        <v>4</v>
      </c>
      <c r="C4" s="62" t="s">
        <v>5</v>
      </c>
      <c r="D4" s="62" t="s">
        <v>6</v>
      </c>
      <c r="E4" s="62"/>
      <c r="F4" s="62"/>
      <c r="G4" s="62"/>
      <c r="H4" s="62"/>
      <c r="I4" s="62"/>
      <c r="J4" s="64" t="s">
        <v>7</v>
      </c>
      <c r="K4" s="64"/>
      <c r="L4" s="64"/>
      <c r="M4" s="62" t="s">
        <v>8</v>
      </c>
      <c r="N4" s="62"/>
      <c r="O4" s="62"/>
      <c r="P4" s="62"/>
      <c r="Q4" s="62"/>
      <c r="R4" s="62"/>
      <c r="S4" s="64" t="s">
        <v>7</v>
      </c>
      <c r="T4" s="64"/>
      <c r="U4" s="64"/>
      <c r="V4" s="56" t="s">
        <v>9</v>
      </c>
      <c r="W4" s="57"/>
      <c r="X4" s="58"/>
    </row>
    <row r="5" spans="1:24" x14ac:dyDescent="0.25">
      <c r="A5" s="62"/>
      <c r="B5" s="63"/>
      <c r="C5" s="62"/>
      <c r="D5" s="41" t="s">
        <v>10</v>
      </c>
      <c r="E5" s="42"/>
      <c r="F5" s="41" t="s">
        <v>11</v>
      </c>
      <c r="G5" s="42"/>
      <c r="H5" s="41" t="s">
        <v>12</v>
      </c>
      <c r="I5" s="42"/>
      <c r="J5" s="64"/>
      <c r="K5" s="64"/>
      <c r="L5" s="64"/>
      <c r="M5" s="41" t="s">
        <v>10</v>
      </c>
      <c r="N5" s="42"/>
      <c r="O5" s="41" t="s">
        <v>11</v>
      </c>
      <c r="P5" s="42"/>
      <c r="Q5" s="41" t="s">
        <v>12</v>
      </c>
      <c r="R5" s="42"/>
      <c r="S5" s="64"/>
      <c r="T5" s="64"/>
      <c r="U5" s="64"/>
      <c r="V5" s="59"/>
      <c r="W5" s="60"/>
      <c r="X5" s="61"/>
    </row>
    <row r="6" spans="1:24" ht="18.75" x14ac:dyDescent="0.3">
      <c r="A6" s="62"/>
      <c r="B6" s="63"/>
      <c r="C6" s="62"/>
      <c r="D6" s="1" t="s">
        <v>13</v>
      </c>
      <c r="E6" s="1" t="s">
        <v>14</v>
      </c>
      <c r="F6" s="1" t="s">
        <v>13</v>
      </c>
      <c r="G6" s="1" t="s">
        <v>14</v>
      </c>
      <c r="H6" s="1" t="s">
        <v>13</v>
      </c>
      <c r="I6" s="1" t="s">
        <v>14</v>
      </c>
      <c r="J6" s="2" t="s">
        <v>13</v>
      </c>
      <c r="K6" s="2" t="s">
        <v>14</v>
      </c>
      <c r="L6" s="2" t="s">
        <v>15</v>
      </c>
      <c r="M6" s="1" t="s">
        <v>13</v>
      </c>
      <c r="N6" s="1" t="s">
        <v>14</v>
      </c>
      <c r="O6" s="1" t="s">
        <v>13</v>
      </c>
      <c r="P6" s="1" t="s">
        <v>14</v>
      </c>
      <c r="Q6" s="1" t="s">
        <v>13</v>
      </c>
      <c r="R6" s="1" t="s">
        <v>14</v>
      </c>
      <c r="S6" s="2" t="s">
        <v>13</v>
      </c>
      <c r="T6" s="2" t="s">
        <v>14</v>
      </c>
      <c r="U6" s="2" t="s">
        <v>15</v>
      </c>
      <c r="V6" s="3" t="s">
        <v>13</v>
      </c>
      <c r="W6" s="3" t="s">
        <v>14</v>
      </c>
      <c r="X6" s="3" t="s">
        <v>15</v>
      </c>
    </row>
    <row r="7" spans="1:24" ht="126" x14ac:dyDescent="0.3">
      <c r="A7" s="4">
        <v>1</v>
      </c>
      <c r="B7" s="5" t="s">
        <v>19</v>
      </c>
      <c r="C7" s="6" t="s">
        <v>17</v>
      </c>
      <c r="D7" s="7">
        <v>104</v>
      </c>
      <c r="E7" s="7">
        <v>104</v>
      </c>
      <c r="F7" s="7">
        <v>88</v>
      </c>
      <c r="G7" s="7">
        <v>127</v>
      </c>
      <c r="H7" s="7">
        <v>66</v>
      </c>
      <c r="I7" s="7">
        <v>63</v>
      </c>
      <c r="J7" s="8">
        <v>258</v>
      </c>
      <c r="K7" s="8">
        <v>294</v>
      </c>
      <c r="L7" s="8">
        <f>SUM(J7:K7)</f>
        <v>552</v>
      </c>
      <c r="M7" s="7">
        <v>86</v>
      </c>
      <c r="N7" s="7">
        <v>83</v>
      </c>
      <c r="O7" s="7">
        <v>51</v>
      </c>
      <c r="P7" s="7">
        <v>49</v>
      </c>
      <c r="Q7" s="7">
        <v>42</v>
      </c>
      <c r="R7" s="7">
        <v>48</v>
      </c>
      <c r="S7" s="8">
        <v>179</v>
      </c>
      <c r="T7" s="8">
        <v>180</v>
      </c>
      <c r="U7" s="8">
        <v>359</v>
      </c>
      <c r="V7" s="9">
        <v>437</v>
      </c>
      <c r="W7" s="9">
        <v>474</v>
      </c>
      <c r="X7" s="9">
        <f>SUM(V7:W7)</f>
        <v>911</v>
      </c>
    </row>
    <row r="8" spans="1:24" ht="94.5" x14ac:dyDescent="0.3">
      <c r="A8" s="4">
        <v>2</v>
      </c>
      <c r="B8" s="5" t="s">
        <v>20</v>
      </c>
      <c r="C8" s="6" t="s">
        <v>17</v>
      </c>
      <c r="D8" s="7">
        <v>36</v>
      </c>
      <c r="E8" s="7">
        <v>30</v>
      </c>
      <c r="F8" s="7">
        <v>64</v>
      </c>
      <c r="G8" s="7">
        <v>43</v>
      </c>
      <c r="H8" s="7">
        <v>46</v>
      </c>
      <c r="I8" s="7">
        <v>44</v>
      </c>
      <c r="J8" s="8">
        <v>146</v>
      </c>
      <c r="K8" s="8">
        <v>117</v>
      </c>
      <c r="L8" s="8">
        <v>263</v>
      </c>
      <c r="M8" s="7">
        <v>43</v>
      </c>
      <c r="N8" s="7">
        <v>46</v>
      </c>
      <c r="O8" s="7">
        <v>51</v>
      </c>
      <c r="P8" s="7">
        <v>37</v>
      </c>
      <c r="Q8" s="7">
        <v>23</v>
      </c>
      <c r="R8" s="7">
        <v>34</v>
      </c>
      <c r="S8" s="8">
        <v>117</v>
      </c>
      <c r="T8" s="8">
        <v>117</v>
      </c>
      <c r="U8" s="8">
        <v>234</v>
      </c>
      <c r="V8" s="9">
        <v>263</v>
      </c>
      <c r="W8" s="9">
        <v>234</v>
      </c>
      <c r="X8" s="9">
        <f>SUM(V8:W8)</f>
        <v>497</v>
      </c>
    </row>
    <row r="9" spans="1:24" ht="94.5" x14ac:dyDescent="0.3">
      <c r="A9" s="4">
        <v>3</v>
      </c>
      <c r="B9" s="12" t="s">
        <v>21</v>
      </c>
      <c r="C9" s="13" t="s">
        <v>17</v>
      </c>
      <c r="D9" s="14">
        <v>46</v>
      </c>
      <c r="E9" s="14">
        <v>67</v>
      </c>
      <c r="F9" s="14">
        <v>59</v>
      </c>
      <c r="G9" s="14">
        <v>81</v>
      </c>
      <c r="H9" s="14">
        <v>59</v>
      </c>
      <c r="I9" s="14">
        <v>66</v>
      </c>
      <c r="J9" s="8">
        <v>164</v>
      </c>
      <c r="K9" s="8">
        <v>214</v>
      </c>
      <c r="L9" s="8">
        <f>SUM(J9:K9)</f>
        <v>378</v>
      </c>
      <c r="M9" s="14">
        <v>36</v>
      </c>
      <c r="N9" s="14">
        <v>67</v>
      </c>
      <c r="O9" s="14">
        <v>24</v>
      </c>
      <c r="P9" s="14">
        <v>38</v>
      </c>
      <c r="Q9" s="14">
        <v>52</v>
      </c>
      <c r="R9" s="14">
        <v>77</v>
      </c>
      <c r="S9" s="15">
        <v>112</v>
      </c>
      <c r="T9" s="15">
        <v>182</v>
      </c>
      <c r="U9" s="15">
        <f>SUM(S9:T9)</f>
        <v>294</v>
      </c>
      <c r="V9" s="9">
        <v>276</v>
      </c>
      <c r="W9" s="9">
        <v>396</v>
      </c>
      <c r="X9" s="9">
        <f>SUM(V9:W9)</f>
        <v>672</v>
      </c>
    </row>
    <row r="10" spans="1:24" ht="78.75" x14ac:dyDescent="0.3">
      <c r="A10" s="4">
        <v>4</v>
      </c>
      <c r="B10" s="5" t="s">
        <v>22</v>
      </c>
      <c r="C10" s="6" t="s">
        <v>17</v>
      </c>
      <c r="D10" s="7">
        <v>32</v>
      </c>
      <c r="E10" s="7">
        <v>29</v>
      </c>
      <c r="F10" s="7">
        <v>42</v>
      </c>
      <c r="G10" s="7">
        <v>35</v>
      </c>
      <c r="H10" s="7">
        <v>49</v>
      </c>
      <c r="I10" s="7">
        <v>51</v>
      </c>
      <c r="J10" s="8">
        <v>123</v>
      </c>
      <c r="K10" s="8">
        <v>115</v>
      </c>
      <c r="L10" s="8">
        <f>SUM(J10:K10)</f>
        <v>238</v>
      </c>
      <c r="M10" s="7">
        <v>45</v>
      </c>
      <c r="N10" s="7">
        <v>39</v>
      </c>
      <c r="O10" s="7">
        <v>31</v>
      </c>
      <c r="P10" s="7">
        <v>36</v>
      </c>
      <c r="Q10" s="7">
        <v>34</v>
      </c>
      <c r="R10" s="7">
        <v>94</v>
      </c>
      <c r="S10" s="8">
        <v>110</v>
      </c>
      <c r="T10" s="8">
        <v>169</v>
      </c>
      <c r="U10" s="8">
        <f>SUM(S10:T10)</f>
        <v>279</v>
      </c>
      <c r="V10" s="9">
        <v>233</v>
      </c>
      <c r="W10" s="9">
        <v>284</v>
      </c>
      <c r="X10" s="9">
        <f>SUM(V10:W10)</f>
        <v>517</v>
      </c>
    </row>
    <row r="11" spans="1:24" ht="78.75" x14ac:dyDescent="0.3">
      <c r="A11" s="4">
        <v>5</v>
      </c>
      <c r="B11" s="12" t="s">
        <v>23</v>
      </c>
      <c r="C11" s="13" t="s">
        <v>17</v>
      </c>
      <c r="D11" s="14"/>
      <c r="E11" s="14"/>
      <c r="F11" s="14"/>
      <c r="G11" s="14"/>
      <c r="H11" s="14"/>
      <c r="I11" s="14"/>
      <c r="J11" s="15"/>
      <c r="K11" s="15"/>
      <c r="L11" s="15"/>
      <c r="M11" s="14"/>
      <c r="N11" s="14"/>
      <c r="O11" s="14"/>
      <c r="P11" s="14"/>
      <c r="Q11" s="14"/>
      <c r="R11" s="14"/>
      <c r="S11" s="15"/>
      <c r="T11" s="15"/>
      <c r="U11" s="15"/>
      <c r="V11" s="9"/>
      <c r="W11" s="9"/>
      <c r="X11" s="9"/>
    </row>
    <row r="12" spans="1:24" ht="78.75" x14ac:dyDescent="0.3">
      <c r="A12" s="4">
        <v>6</v>
      </c>
      <c r="B12" s="5" t="s">
        <v>24</v>
      </c>
      <c r="C12" s="6" t="s">
        <v>17</v>
      </c>
      <c r="D12" s="7">
        <v>57</v>
      </c>
      <c r="E12" s="7">
        <v>28</v>
      </c>
      <c r="F12" s="7">
        <v>52</v>
      </c>
      <c r="G12" s="7">
        <v>33</v>
      </c>
      <c r="H12" s="7">
        <v>48</v>
      </c>
      <c r="I12" s="7">
        <v>29</v>
      </c>
      <c r="J12" s="8">
        <v>157</v>
      </c>
      <c r="K12" s="8">
        <v>90</v>
      </c>
      <c r="L12" s="8">
        <f>SUM(J12:K12)</f>
        <v>247</v>
      </c>
      <c r="M12" s="7">
        <v>37</v>
      </c>
      <c r="N12" s="7">
        <v>35</v>
      </c>
      <c r="O12" s="7">
        <v>30</v>
      </c>
      <c r="P12" s="7">
        <v>42</v>
      </c>
      <c r="Q12" s="7">
        <v>44</v>
      </c>
      <c r="R12" s="7">
        <v>57</v>
      </c>
      <c r="S12" s="8">
        <v>111</v>
      </c>
      <c r="T12" s="8">
        <v>134</v>
      </c>
      <c r="U12" s="8">
        <f>SUM(S12:T12)</f>
        <v>245</v>
      </c>
      <c r="V12" s="9">
        <v>268</v>
      </c>
      <c r="W12" s="9">
        <v>224</v>
      </c>
      <c r="X12" s="9">
        <f>SUM(V12:W12)</f>
        <v>492</v>
      </c>
    </row>
    <row r="13" spans="1:24" ht="94.5" x14ac:dyDescent="0.3">
      <c r="A13" s="4">
        <v>7</v>
      </c>
      <c r="B13" s="5" t="s">
        <v>25</v>
      </c>
      <c r="C13" s="6" t="s">
        <v>17</v>
      </c>
      <c r="D13" s="7"/>
      <c r="E13" s="7"/>
      <c r="F13" s="7"/>
      <c r="G13" s="7"/>
      <c r="H13" s="7"/>
      <c r="I13" s="7"/>
      <c r="J13" s="8"/>
      <c r="K13" s="8"/>
      <c r="L13" s="8"/>
      <c r="M13" s="7"/>
      <c r="N13" s="7"/>
      <c r="O13" s="7"/>
      <c r="P13" s="7"/>
      <c r="Q13" s="7"/>
      <c r="R13" s="7"/>
      <c r="S13" s="8"/>
      <c r="T13" s="8"/>
      <c r="U13" s="8"/>
      <c r="V13" s="9"/>
      <c r="W13" s="9"/>
      <c r="X13" s="9"/>
    </row>
    <row r="14" spans="1:24" ht="110.25" x14ac:dyDescent="0.3">
      <c r="A14" s="4">
        <v>8</v>
      </c>
      <c r="B14" s="5" t="s">
        <v>26</v>
      </c>
      <c r="C14" s="6" t="s">
        <v>17</v>
      </c>
      <c r="D14" s="7">
        <v>18</v>
      </c>
      <c r="E14" s="7">
        <v>24</v>
      </c>
      <c r="F14" s="7">
        <v>10</v>
      </c>
      <c r="G14" s="7">
        <v>16</v>
      </c>
      <c r="H14" s="7">
        <v>14</v>
      </c>
      <c r="I14" s="7">
        <v>16</v>
      </c>
      <c r="J14" s="8">
        <v>42</v>
      </c>
      <c r="K14" s="8">
        <v>56</v>
      </c>
      <c r="L14" s="8">
        <f>SUM(J14:K14)</f>
        <v>98</v>
      </c>
      <c r="M14" s="7">
        <v>5</v>
      </c>
      <c r="N14" s="7">
        <v>6</v>
      </c>
      <c r="O14" s="7">
        <v>9</v>
      </c>
      <c r="P14" s="7">
        <v>11</v>
      </c>
      <c r="Q14" s="7">
        <v>51</v>
      </c>
      <c r="R14" s="7">
        <v>69</v>
      </c>
      <c r="S14" s="8">
        <v>65</v>
      </c>
      <c r="T14" s="8">
        <v>85</v>
      </c>
      <c r="U14" s="8">
        <f>SUM(S14:T14)</f>
        <v>150</v>
      </c>
      <c r="V14" s="9">
        <v>107</v>
      </c>
      <c r="W14" s="9">
        <v>141</v>
      </c>
      <c r="X14" s="9">
        <f>SUM(V14:W14)</f>
        <v>248</v>
      </c>
    </row>
    <row r="15" spans="1:24" ht="95.25" x14ac:dyDescent="0.3">
      <c r="A15" s="4">
        <v>9</v>
      </c>
      <c r="B15" s="16" t="s">
        <v>27</v>
      </c>
      <c r="C15" s="17" t="s">
        <v>17</v>
      </c>
      <c r="D15" s="18"/>
      <c r="E15" s="18"/>
      <c r="F15" s="18"/>
      <c r="G15" s="18"/>
      <c r="H15" s="18"/>
      <c r="I15" s="18"/>
      <c r="J15" s="19"/>
      <c r="K15" s="19"/>
      <c r="L15" s="19"/>
      <c r="M15" s="18"/>
      <c r="N15" s="18"/>
      <c r="O15" s="18"/>
      <c r="P15" s="18"/>
      <c r="Q15" s="18"/>
      <c r="R15" s="18"/>
      <c r="S15" s="19"/>
      <c r="T15" s="19"/>
      <c r="U15" s="19"/>
      <c r="V15" s="9"/>
      <c r="W15" s="9"/>
      <c r="X15" s="9"/>
    </row>
    <row r="16" spans="1:24" ht="78.75" x14ac:dyDescent="0.3">
      <c r="A16" s="4">
        <v>10</v>
      </c>
      <c r="B16" s="20" t="s">
        <v>28</v>
      </c>
      <c r="C16" s="17" t="s">
        <v>29</v>
      </c>
      <c r="D16" s="18"/>
      <c r="E16" s="18"/>
      <c r="F16" s="18"/>
      <c r="G16" s="18"/>
      <c r="H16" s="18"/>
      <c r="I16" s="18"/>
      <c r="J16" s="19"/>
      <c r="K16" s="19"/>
      <c r="L16" s="19"/>
      <c r="M16" s="18"/>
      <c r="N16" s="18"/>
      <c r="O16" s="18"/>
      <c r="P16" s="18"/>
      <c r="Q16" s="18"/>
      <c r="R16" s="18"/>
      <c r="S16" s="19"/>
      <c r="T16" s="19"/>
      <c r="U16" s="19"/>
      <c r="V16" s="9"/>
      <c r="W16" s="9"/>
      <c r="X16" s="9"/>
    </row>
    <row r="17" spans="1:24" ht="78.75" x14ac:dyDescent="0.3">
      <c r="A17" s="4">
        <v>11</v>
      </c>
      <c r="B17" s="20" t="s">
        <v>30</v>
      </c>
      <c r="C17" s="17" t="s">
        <v>29</v>
      </c>
      <c r="D17" s="18"/>
      <c r="E17" s="18"/>
      <c r="F17" s="18"/>
      <c r="G17" s="18"/>
      <c r="H17" s="18"/>
      <c r="I17" s="18"/>
      <c r="J17" s="19"/>
      <c r="K17" s="19"/>
      <c r="L17" s="19"/>
      <c r="M17" s="18"/>
      <c r="N17" s="18"/>
      <c r="O17" s="18"/>
      <c r="P17" s="18"/>
      <c r="Q17" s="18"/>
      <c r="R17" s="18"/>
      <c r="S17" s="19"/>
      <c r="T17" s="19"/>
      <c r="U17" s="19"/>
      <c r="V17" s="9"/>
      <c r="W17" s="9"/>
      <c r="X17" s="9"/>
    </row>
    <row r="18" spans="1:24" ht="63" x14ac:dyDescent="0.3">
      <c r="A18" s="4">
        <v>12</v>
      </c>
      <c r="B18" s="20" t="s">
        <v>31</v>
      </c>
      <c r="C18" s="17" t="s">
        <v>29</v>
      </c>
      <c r="D18" s="18">
        <v>112</v>
      </c>
      <c r="E18" s="18">
        <v>80</v>
      </c>
      <c r="F18" s="18">
        <v>83</v>
      </c>
      <c r="G18" s="18">
        <v>96</v>
      </c>
      <c r="H18" s="18">
        <v>64</v>
      </c>
      <c r="I18" s="18">
        <v>87</v>
      </c>
      <c r="J18" s="19">
        <v>259</v>
      </c>
      <c r="K18" s="19">
        <v>263</v>
      </c>
      <c r="L18" s="19">
        <f>SUM(J18:K18)</f>
        <v>522</v>
      </c>
      <c r="M18" s="18">
        <v>68</v>
      </c>
      <c r="N18" s="18">
        <v>67</v>
      </c>
      <c r="O18" s="18">
        <v>38</v>
      </c>
      <c r="P18" s="18">
        <v>48</v>
      </c>
      <c r="Q18" s="18">
        <v>54</v>
      </c>
      <c r="R18" s="18">
        <v>67</v>
      </c>
      <c r="S18" s="19">
        <v>160</v>
      </c>
      <c r="T18" s="19">
        <v>182</v>
      </c>
      <c r="U18" s="19">
        <f>SUM(S18:T18)</f>
        <v>342</v>
      </c>
      <c r="V18" s="9">
        <v>419</v>
      </c>
      <c r="W18" s="9">
        <v>445</v>
      </c>
      <c r="X18" s="9">
        <f>SUM(V18:W18)</f>
        <v>864</v>
      </c>
    </row>
    <row r="19" spans="1:24" ht="94.5" x14ac:dyDescent="0.3">
      <c r="A19" s="4">
        <v>13</v>
      </c>
      <c r="B19" s="20" t="s">
        <v>32</v>
      </c>
      <c r="C19" s="17" t="s">
        <v>29</v>
      </c>
      <c r="D19" s="18">
        <v>25</v>
      </c>
      <c r="E19" s="18">
        <v>19</v>
      </c>
      <c r="F19" s="18">
        <v>28</v>
      </c>
      <c r="G19" s="18">
        <v>19</v>
      </c>
      <c r="H19" s="18">
        <v>39</v>
      </c>
      <c r="I19" s="18">
        <v>28</v>
      </c>
      <c r="J19" s="19">
        <v>92</v>
      </c>
      <c r="K19" s="19">
        <v>66</v>
      </c>
      <c r="L19" s="19">
        <f>SUM(J19:K19)</f>
        <v>158</v>
      </c>
      <c r="M19" s="18">
        <v>28</v>
      </c>
      <c r="N19" s="18">
        <v>13</v>
      </c>
      <c r="O19" s="18">
        <v>16</v>
      </c>
      <c r="P19" s="18">
        <v>16</v>
      </c>
      <c r="Q19" s="18">
        <v>6</v>
      </c>
      <c r="R19" s="18">
        <v>21</v>
      </c>
      <c r="S19" s="19">
        <v>44</v>
      </c>
      <c r="T19" s="19">
        <v>50</v>
      </c>
      <c r="U19" s="19">
        <f>SUM(S19:T19)</f>
        <v>94</v>
      </c>
      <c r="V19" s="9">
        <v>136</v>
      </c>
      <c r="W19" s="9">
        <v>116</v>
      </c>
      <c r="X19" s="9">
        <f>SUM(V19:W19)</f>
        <v>252</v>
      </c>
    </row>
    <row r="20" spans="1:24" ht="78.75" x14ac:dyDescent="0.3">
      <c r="A20" s="4">
        <v>14</v>
      </c>
      <c r="B20" s="20" t="s">
        <v>33</v>
      </c>
      <c r="C20" s="17" t="s">
        <v>29</v>
      </c>
      <c r="D20" s="18">
        <v>51</v>
      </c>
      <c r="E20" s="18">
        <v>47</v>
      </c>
      <c r="F20" s="18">
        <v>50</v>
      </c>
      <c r="G20" s="18">
        <v>48</v>
      </c>
      <c r="H20" s="18">
        <v>45</v>
      </c>
      <c r="I20" s="18">
        <v>39</v>
      </c>
      <c r="J20" s="19">
        <v>149</v>
      </c>
      <c r="K20" s="19">
        <v>134</v>
      </c>
      <c r="L20" s="19">
        <v>280</v>
      </c>
      <c r="M20" s="18">
        <v>30</v>
      </c>
      <c r="N20" s="18">
        <v>38</v>
      </c>
      <c r="O20" s="18">
        <v>38</v>
      </c>
      <c r="P20" s="18">
        <v>33</v>
      </c>
      <c r="Q20" s="18">
        <v>32</v>
      </c>
      <c r="R20" s="18">
        <v>43</v>
      </c>
      <c r="S20" s="19">
        <v>100</v>
      </c>
      <c r="T20" s="19">
        <v>114</v>
      </c>
      <c r="U20" s="19">
        <v>214</v>
      </c>
      <c r="V20" s="9">
        <v>249</v>
      </c>
      <c r="W20" s="9">
        <v>248</v>
      </c>
      <c r="X20" s="9">
        <v>494</v>
      </c>
    </row>
    <row r="21" spans="1:24" ht="94.5" x14ac:dyDescent="0.3">
      <c r="A21" s="4">
        <v>15</v>
      </c>
      <c r="B21" s="20" t="s">
        <v>34</v>
      </c>
      <c r="C21" s="17" t="s">
        <v>29</v>
      </c>
      <c r="D21" s="18">
        <v>24</v>
      </c>
      <c r="E21" s="18">
        <v>14</v>
      </c>
      <c r="F21" s="18">
        <v>26</v>
      </c>
      <c r="G21" s="18">
        <v>20</v>
      </c>
      <c r="H21" s="18">
        <v>10</v>
      </c>
      <c r="I21" s="18">
        <v>16</v>
      </c>
      <c r="J21" s="19">
        <v>60</v>
      </c>
      <c r="K21" s="19">
        <v>50</v>
      </c>
      <c r="L21" s="19">
        <f>SUM(J21:K21)</f>
        <v>110</v>
      </c>
      <c r="M21" s="18">
        <v>10</v>
      </c>
      <c r="N21" s="18">
        <v>13</v>
      </c>
      <c r="O21" s="18">
        <v>9</v>
      </c>
      <c r="P21" s="18">
        <v>13</v>
      </c>
      <c r="Q21" s="18">
        <v>20</v>
      </c>
      <c r="R21" s="18">
        <v>23</v>
      </c>
      <c r="S21" s="19">
        <v>39</v>
      </c>
      <c r="T21" s="19">
        <v>49</v>
      </c>
      <c r="U21" s="19">
        <f>SUM(S21:T21)</f>
        <v>88</v>
      </c>
      <c r="V21" s="9">
        <v>99</v>
      </c>
      <c r="W21" s="9">
        <v>99</v>
      </c>
      <c r="X21" s="9">
        <f>SUM(V21:W21)</f>
        <v>198</v>
      </c>
    </row>
    <row r="22" spans="1:24" ht="94.5" x14ac:dyDescent="0.3">
      <c r="A22" s="4">
        <v>16</v>
      </c>
      <c r="B22" s="20" t="s">
        <v>35</v>
      </c>
      <c r="C22" s="17" t="s">
        <v>29</v>
      </c>
      <c r="D22" s="18">
        <v>13</v>
      </c>
      <c r="E22" s="18">
        <v>13</v>
      </c>
      <c r="F22" s="18">
        <v>26</v>
      </c>
      <c r="G22" s="18">
        <v>18</v>
      </c>
      <c r="H22" s="18">
        <v>14</v>
      </c>
      <c r="I22" s="18">
        <v>12</v>
      </c>
      <c r="J22" s="19">
        <v>53</v>
      </c>
      <c r="K22" s="19">
        <v>43</v>
      </c>
      <c r="L22" s="19">
        <f>SUM(J22:K22)</f>
        <v>96</v>
      </c>
      <c r="M22" s="18">
        <v>15</v>
      </c>
      <c r="N22" s="18">
        <v>5</v>
      </c>
      <c r="O22" s="18">
        <v>10</v>
      </c>
      <c r="P22" s="18">
        <v>11</v>
      </c>
      <c r="Q22" s="18">
        <v>4</v>
      </c>
      <c r="R22" s="18">
        <v>5</v>
      </c>
      <c r="S22" s="19">
        <v>29</v>
      </c>
      <c r="T22" s="19">
        <v>21</v>
      </c>
      <c r="U22" s="19">
        <f>SUM(S22:T22)</f>
        <v>50</v>
      </c>
      <c r="V22" s="9">
        <v>82</v>
      </c>
      <c r="W22" s="9">
        <v>64</v>
      </c>
      <c r="X22" s="9">
        <f>SUM(V22:W22)</f>
        <v>146</v>
      </c>
    </row>
    <row r="23" spans="1:24" ht="63" x14ac:dyDescent="0.3">
      <c r="A23" s="4">
        <v>17</v>
      </c>
      <c r="B23" s="20" t="s">
        <v>36</v>
      </c>
      <c r="C23" s="17" t="s">
        <v>29</v>
      </c>
      <c r="D23" s="18">
        <v>5</v>
      </c>
      <c r="E23" s="18">
        <v>7</v>
      </c>
      <c r="F23" s="18">
        <v>10</v>
      </c>
      <c r="G23" s="18">
        <v>3</v>
      </c>
      <c r="H23" s="18">
        <v>4</v>
      </c>
      <c r="I23" s="18">
        <v>6</v>
      </c>
      <c r="J23" s="19">
        <v>19</v>
      </c>
      <c r="K23" s="19">
        <v>16</v>
      </c>
      <c r="L23" s="19">
        <f>SUM(J23:K23)</f>
        <v>35</v>
      </c>
      <c r="M23" s="18">
        <v>4</v>
      </c>
      <c r="N23" s="18">
        <v>7</v>
      </c>
      <c r="O23" s="18">
        <v>2</v>
      </c>
      <c r="P23" s="18">
        <v>2</v>
      </c>
      <c r="Q23" s="18">
        <v>21</v>
      </c>
      <c r="R23" s="18">
        <v>25</v>
      </c>
      <c r="S23" s="19">
        <v>27</v>
      </c>
      <c r="T23" s="19">
        <v>34</v>
      </c>
      <c r="U23" s="19">
        <f>SUM(S23:T23)</f>
        <v>61</v>
      </c>
      <c r="V23" s="9">
        <v>46</v>
      </c>
      <c r="W23" s="9">
        <v>50</v>
      </c>
      <c r="X23" s="9">
        <f>SUM(V23:W23)</f>
        <v>96</v>
      </c>
    </row>
    <row r="24" spans="1:24" ht="78.75" x14ac:dyDescent="0.3">
      <c r="A24" s="4">
        <v>18</v>
      </c>
      <c r="B24" s="20" t="s">
        <v>37</v>
      </c>
      <c r="C24" s="17" t="s">
        <v>29</v>
      </c>
      <c r="D24" s="18"/>
      <c r="E24" s="18"/>
      <c r="F24" s="18"/>
      <c r="G24" s="18"/>
      <c r="H24" s="18"/>
      <c r="I24" s="18"/>
      <c r="J24" s="19"/>
      <c r="K24" s="19"/>
      <c r="L24" s="19"/>
      <c r="M24" s="18"/>
      <c r="N24" s="18"/>
      <c r="O24" s="18"/>
      <c r="P24" s="18"/>
      <c r="Q24" s="18"/>
      <c r="R24" s="18"/>
      <c r="S24" s="19"/>
      <c r="T24" s="19"/>
      <c r="U24" s="19"/>
      <c r="V24" s="9"/>
      <c r="W24" s="9"/>
      <c r="X24" s="9"/>
    </row>
    <row r="25" spans="1:24" ht="126" x14ac:dyDescent="0.3">
      <c r="A25" s="4">
        <v>19</v>
      </c>
      <c r="B25" s="21" t="s">
        <v>38</v>
      </c>
      <c r="C25" s="22" t="s">
        <v>39</v>
      </c>
      <c r="D25" s="18">
        <v>35</v>
      </c>
      <c r="E25" s="18">
        <v>14</v>
      </c>
      <c r="F25" s="18">
        <v>18</v>
      </c>
      <c r="G25" s="18">
        <v>28</v>
      </c>
      <c r="H25" s="18">
        <v>18</v>
      </c>
      <c r="I25" s="18">
        <v>22</v>
      </c>
      <c r="J25" s="19">
        <v>71</v>
      </c>
      <c r="K25" s="19">
        <v>64</v>
      </c>
      <c r="L25" s="19">
        <f>SUM(J25:K25)</f>
        <v>135</v>
      </c>
      <c r="M25" s="18">
        <v>20</v>
      </c>
      <c r="N25" s="18">
        <v>34</v>
      </c>
      <c r="O25" s="18">
        <v>19</v>
      </c>
      <c r="P25" s="18">
        <v>27</v>
      </c>
      <c r="Q25" s="18">
        <v>14</v>
      </c>
      <c r="R25" s="18">
        <v>20</v>
      </c>
      <c r="S25" s="19">
        <v>53</v>
      </c>
      <c r="T25" s="19">
        <v>81</v>
      </c>
      <c r="U25" s="19">
        <f>SUM(S25:T25)</f>
        <v>134</v>
      </c>
      <c r="V25" s="9">
        <v>124</v>
      </c>
      <c r="W25" s="9">
        <v>145</v>
      </c>
      <c r="X25" s="9">
        <f>SUM(V25:W25)</f>
        <v>269</v>
      </c>
    </row>
    <row r="26" spans="1:24" ht="126" x14ac:dyDescent="0.3">
      <c r="A26" s="4">
        <v>20</v>
      </c>
      <c r="B26" s="21" t="s">
        <v>40</v>
      </c>
      <c r="C26" s="22" t="s">
        <v>39</v>
      </c>
      <c r="D26" s="18">
        <v>41</v>
      </c>
      <c r="E26" s="18">
        <v>41</v>
      </c>
      <c r="F26" s="18">
        <v>56</v>
      </c>
      <c r="G26" s="18">
        <v>54</v>
      </c>
      <c r="H26" s="18">
        <v>18</v>
      </c>
      <c r="I26" s="18">
        <v>26</v>
      </c>
      <c r="J26" s="19">
        <v>115</v>
      </c>
      <c r="K26" s="19">
        <v>121</v>
      </c>
      <c r="L26" s="19">
        <f>SUM(J26:K26)</f>
        <v>236</v>
      </c>
      <c r="M26" s="18">
        <v>32</v>
      </c>
      <c r="N26" s="18">
        <v>43</v>
      </c>
      <c r="O26" s="18">
        <v>7</v>
      </c>
      <c r="P26" s="18">
        <v>13</v>
      </c>
      <c r="Q26" s="18">
        <v>30</v>
      </c>
      <c r="R26" s="18">
        <v>32</v>
      </c>
      <c r="S26" s="19">
        <v>69</v>
      </c>
      <c r="T26" s="19">
        <v>88</v>
      </c>
      <c r="U26" s="19">
        <f>SUM(S26:T26)</f>
        <v>157</v>
      </c>
      <c r="V26" s="9">
        <v>184</v>
      </c>
      <c r="W26" s="9">
        <v>209</v>
      </c>
      <c r="X26" s="9">
        <f>SUM(V26:W26)</f>
        <v>393</v>
      </c>
    </row>
    <row r="27" spans="1:24" ht="94.5" x14ac:dyDescent="0.3">
      <c r="A27" s="4">
        <v>21</v>
      </c>
      <c r="B27" s="21" t="s">
        <v>41</v>
      </c>
      <c r="C27" s="22" t="s">
        <v>39</v>
      </c>
      <c r="D27" s="18">
        <v>21</v>
      </c>
      <c r="E27" s="18">
        <v>19</v>
      </c>
      <c r="F27" s="18">
        <v>20</v>
      </c>
      <c r="G27" s="18">
        <v>21</v>
      </c>
      <c r="H27" s="18">
        <v>21</v>
      </c>
      <c r="I27" s="18">
        <v>29</v>
      </c>
      <c r="J27" s="19">
        <v>62</v>
      </c>
      <c r="K27" s="19">
        <v>69</v>
      </c>
      <c r="L27" s="19">
        <f>SUM(J27:K27)</f>
        <v>131</v>
      </c>
      <c r="M27" s="18">
        <v>15</v>
      </c>
      <c r="N27" s="18">
        <v>20</v>
      </c>
      <c r="O27" s="18">
        <v>5</v>
      </c>
      <c r="P27" s="18">
        <v>22</v>
      </c>
      <c r="Q27" s="18">
        <v>38</v>
      </c>
      <c r="R27" s="18">
        <v>57</v>
      </c>
      <c r="S27" s="19">
        <v>58</v>
      </c>
      <c r="T27" s="19">
        <v>99</v>
      </c>
      <c r="U27" s="19">
        <f>SUM(S27:T27)</f>
        <v>157</v>
      </c>
      <c r="V27" s="9">
        <v>120</v>
      </c>
      <c r="W27" s="9">
        <v>168</v>
      </c>
      <c r="X27" s="9">
        <f>SUM(V27:W27)</f>
        <v>288</v>
      </c>
    </row>
    <row r="28" spans="1:24" ht="94.5" x14ac:dyDescent="0.3">
      <c r="A28" s="4">
        <v>22</v>
      </c>
      <c r="B28" s="21" t="s">
        <v>42</v>
      </c>
      <c r="C28" s="22" t="s">
        <v>39</v>
      </c>
      <c r="D28" s="18"/>
      <c r="E28" s="18"/>
      <c r="F28" s="18"/>
      <c r="G28" s="18"/>
      <c r="H28" s="18"/>
      <c r="I28" s="18"/>
      <c r="J28" s="19"/>
      <c r="K28" s="19"/>
      <c r="L28" s="19"/>
      <c r="M28" s="18"/>
      <c r="N28" s="18"/>
      <c r="O28" s="18"/>
      <c r="P28" s="18"/>
      <c r="Q28" s="18"/>
      <c r="R28" s="18"/>
      <c r="S28" s="19"/>
      <c r="T28" s="19"/>
      <c r="U28" s="19"/>
      <c r="V28" s="9"/>
      <c r="W28" s="9"/>
      <c r="X28" s="9"/>
    </row>
    <row r="29" spans="1:24" ht="141.75" x14ac:dyDescent="0.3">
      <c r="A29" s="4">
        <v>23</v>
      </c>
      <c r="B29" s="21" t="s">
        <v>43</v>
      </c>
      <c r="C29" s="22" t="s">
        <v>39</v>
      </c>
      <c r="D29" s="10"/>
      <c r="E29" s="10"/>
      <c r="F29" s="10"/>
      <c r="G29" s="10"/>
      <c r="H29" s="10"/>
      <c r="I29" s="10"/>
      <c r="J29" s="11"/>
      <c r="K29" s="11"/>
      <c r="L29" s="11"/>
      <c r="M29" s="10"/>
      <c r="N29" s="10"/>
      <c r="O29" s="10"/>
      <c r="P29" s="10"/>
      <c r="Q29" s="10"/>
      <c r="R29" s="10"/>
      <c r="S29" s="11"/>
      <c r="T29" s="11"/>
      <c r="U29" s="11"/>
      <c r="V29" s="9"/>
      <c r="W29" s="9"/>
      <c r="X29" s="9"/>
    </row>
    <row r="30" spans="1:24" ht="141.75" x14ac:dyDescent="0.3">
      <c r="A30" s="4">
        <v>24</v>
      </c>
      <c r="B30" s="21" t="s">
        <v>44</v>
      </c>
      <c r="C30" s="22" t="s">
        <v>39</v>
      </c>
      <c r="D30" s="18">
        <v>21</v>
      </c>
      <c r="E30" s="18">
        <v>9</v>
      </c>
      <c r="F30" s="18">
        <v>7</v>
      </c>
      <c r="G30" s="18">
        <v>18</v>
      </c>
      <c r="H30" s="18">
        <v>10</v>
      </c>
      <c r="I30" s="18">
        <v>19</v>
      </c>
      <c r="J30" s="19">
        <v>40</v>
      </c>
      <c r="K30" s="19">
        <v>46</v>
      </c>
      <c r="L30" s="19">
        <f>SUM(J30:K30)</f>
        <v>86</v>
      </c>
      <c r="M30" s="18">
        <v>7</v>
      </c>
      <c r="N30" s="18">
        <v>15</v>
      </c>
      <c r="O30" s="18">
        <v>1</v>
      </c>
      <c r="P30" s="18">
        <v>3</v>
      </c>
      <c r="Q30" s="18">
        <v>28</v>
      </c>
      <c r="R30" s="18">
        <v>40</v>
      </c>
      <c r="S30" s="19">
        <v>36</v>
      </c>
      <c r="T30" s="19">
        <v>58</v>
      </c>
      <c r="U30" s="19">
        <f>SUM(S30:T30)</f>
        <v>94</v>
      </c>
      <c r="V30" s="3">
        <v>76</v>
      </c>
      <c r="W30" s="3">
        <v>104</v>
      </c>
      <c r="X30" s="9">
        <f>SUM(V30:W30)</f>
        <v>180</v>
      </c>
    </row>
    <row r="31" spans="1:24" ht="126" x14ac:dyDescent="0.3">
      <c r="A31" s="4">
        <v>25</v>
      </c>
      <c r="B31" s="21" t="s">
        <v>45</v>
      </c>
      <c r="C31" s="22" t="s">
        <v>39</v>
      </c>
      <c r="D31" s="10">
        <v>35</v>
      </c>
      <c r="E31" s="23">
        <v>14</v>
      </c>
      <c r="F31" s="23">
        <v>15</v>
      </c>
      <c r="G31" s="23">
        <v>11</v>
      </c>
      <c r="H31" s="23">
        <v>20</v>
      </c>
      <c r="I31" s="23">
        <v>12</v>
      </c>
      <c r="J31" s="24">
        <v>70</v>
      </c>
      <c r="K31" s="24">
        <v>37</v>
      </c>
      <c r="L31" s="24">
        <f>SUM(J31:K31)</f>
        <v>107</v>
      </c>
      <c r="M31" s="23">
        <v>21</v>
      </c>
      <c r="N31" s="23">
        <v>11</v>
      </c>
      <c r="O31" s="23">
        <v>10</v>
      </c>
      <c r="P31" s="23">
        <v>9</v>
      </c>
      <c r="Q31" s="23">
        <v>12</v>
      </c>
      <c r="R31" s="23">
        <v>10</v>
      </c>
      <c r="S31" s="24">
        <v>43</v>
      </c>
      <c r="T31" s="24">
        <v>30</v>
      </c>
      <c r="U31" s="11">
        <f>SUM(S31:T31)</f>
        <v>73</v>
      </c>
      <c r="V31" s="9">
        <v>113</v>
      </c>
      <c r="W31" s="9">
        <v>67</v>
      </c>
      <c r="X31" s="9">
        <f>SUM(V31:W31)</f>
        <v>180</v>
      </c>
    </row>
    <row r="32" spans="1:24" ht="110.25" x14ac:dyDescent="0.3">
      <c r="A32" s="4">
        <v>26</v>
      </c>
      <c r="B32" s="21" t="s">
        <v>46</v>
      </c>
      <c r="C32" s="22" t="s">
        <v>39</v>
      </c>
      <c r="D32" s="18"/>
      <c r="E32" s="18"/>
      <c r="F32" s="18"/>
      <c r="G32" s="18"/>
      <c r="H32" s="18"/>
      <c r="I32" s="18"/>
      <c r="J32" s="19"/>
      <c r="K32" s="19"/>
      <c r="L32" s="19"/>
      <c r="M32" s="18"/>
      <c r="N32" s="18"/>
      <c r="O32" s="18"/>
      <c r="P32" s="18"/>
      <c r="Q32" s="18"/>
      <c r="R32" s="18"/>
      <c r="S32" s="19"/>
      <c r="T32" s="19"/>
      <c r="U32" s="19"/>
      <c r="V32" s="9"/>
      <c r="W32" s="9"/>
      <c r="X32" s="9"/>
    </row>
    <row r="33" spans="1:24" ht="18.75" x14ac:dyDescent="0.3">
      <c r="A33" s="28"/>
      <c r="B33" s="29" t="s">
        <v>7</v>
      </c>
      <c r="C33" s="25"/>
      <c r="D33" s="25">
        <f t="shared" ref="D33:X33" si="0">SUM(D7:D32)</f>
        <v>676</v>
      </c>
      <c r="E33" s="25">
        <f t="shared" si="0"/>
        <v>559</v>
      </c>
      <c r="F33" s="25">
        <f t="shared" si="0"/>
        <v>654</v>
      </c>
      <c r="G33" s="25">
        <f t="shared" si="0"/>
        <v>671</v>
      </c>
      <c r="H33" s="25">
        <f t="shared" si="0"/>
        <v>545</v>
      </c>
      <c r="I33" s="25">
        <f t="shared" si="0"/>
        <v>565</v>
      </c>
      <c r="J33" s="26">
        <f t="shared" si="0"/>
        <v>1880</v>
      </c>
      <c r="K33" s="26">
        <f t="shared" si="0"/>
        <v>1795</v>
      </c>
      <c r="L33" s="26">
        <f t="shared" si="0"/>
        <v>3672</v>
      </c>
      <c r="M33" s="25">
        <f t="shared" si="0"/>
        <v>502</v>
      </c>
      <c r="N33" s="25">
        <f t="shared" si="0"/>
        <v>542</v>
      </c>
      <c r="O33" s="25">
        <f t="shared" si="0"/>
        <v>351</v>
      </c>
      <c r="P33" s="25">
        <f t="shared" si="0"/>
        <v>410</v>
      </c>
      <c r="Q33" s="25">
        <f t="shared" si="0"/>
        <v>505</v>
      </c>
      <c r="R33" s="25">
        <f t="shared" si="0"/>
        <v>722</v>
      </c>
      <c r="S33" s="27">
        <f t="shared" si="0"/>
        <v>1352</v>
      </c>
      <c r="T33" s="27">
        <f t="shared" si="0"/>
        <v>1673</v>
      </c>
      <c r="U33" s="27">
        <f t="shared" si="0"/>
        <v>3025</v>
      </c>
      <c r="V33" s="27">
        <f t="shared" si="0"/>
        <v>3232</v>
      </c>
      <c r="W33" s="27">
        <f t="shared" si="0"/>
        <v>3468</v>
      </c>
      <c r="X33" s="9">
        <f t="shared" si="0"/>
        <v>6697</v>
      </c>
    </row>
  </sheetData>
  <mergeCells count="17">
    <mergeCell ref="O5:P5"/>
    <mergeCell ref="Q5:R5"/>
    <mergeCell ref="A1:X1"/>
    <mergeCell ref="A2:X2"/>
    <mergeCell ref="A3:X3"/>
    <mergeCell ref="A4:A6"/>
    <mergeCell ref="B4:B6"/>
    <mergeCell ref="C4:C6"/>
    <mergeCell ref="D4:I4"/>
    <mergeCell ref="J4:L5"/>
    <mergeCell ref="M4:R4"/>
    <mergeCell ref="S4:U5"/>
    <mergeCell ref="V4:X5"/>
    <mergeCell ref="D5:E5"/>
    <mergeCell ref="F5:G5"/>
    <mergeCell ref="H5:I5"/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 la</cp:lastModifiedBy>
  <dcterms:created xsi:type="dcterms:W3CDTF">2025-04-04T14:46:40Z</dcterms:created>
  <dcterms:modified xsi:type="dcterms:W3CDTF">2025-04-11T15:46:12Z</dcterms:modified>
</cp:coreProperties>
</file>